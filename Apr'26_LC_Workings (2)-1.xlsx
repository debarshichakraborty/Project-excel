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40" yWindow="105" windowWidth="14805" windowHeight="8010"/>
  </bookViews>
  <sheets>
    <sheet name="Purchases" sheetId="2" r:id="rId1"/>
    <sheet name="Sales" sheetId="1" r:id="rId2"/>
    <sheet name="Sheet4" sheetId="9" r:id="rId3"/>
    <sheet name="Sheet3" sheetId="8" r:id="rId4"/>
    <sheet name="Charges" sheetId="3" r:id="rId5"/>
    <sheet name="Retirement" sheetId="4" r:id="rId6"/>
    <sheet name="Sheet2" sheetId="7" r:id="rId7"/>
    <sheet name="SAP" sheetId="5" r:id="rId8"/>
    <sheet name="Sheet1" sheetId="6" state="hidden" r:id="rId9"/>
  </sheets>
  <definedNames>
    <definedName name="_xlnm._FilterDatabase" localSheetId="4" hidden="1">Charges!$B$8:$AM$15</definedName>
    <definedName name="_xlnm._FilterDatabase" localSheetId="5" hidden="1">Retirement!$B$12:$AH$85</definedName>
    <definedName name="_xlnm._FilterDatabase" localSheetId="1" hidden="1">Sales!$B$12:$AI$46</definedName>
    <definedName name="_xlnm._FilterDatabase" localSheetId="7" hidden="1">SAP!$A$1:$W$521</definedName>
    <definedName name="_xlnm._FilterDatabase" localSheetId="3" hidden="1">Sheet3!$A$1:$Q$140</definedName>
  </definedNames>
  <calcPr calcId="125725"/>
  <pivotCaches>
    <pivotCache cacheId="0" r:id="rId10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4"/>
  <c r="AB67"/>
  <c r="AB70"/>
  <c r="Y70"/>
  <c r="V70"/>
  <c r="X70"/>
  <c r="AA70"/>
  <c r="AC70"/>
  <c r="AD70"/>
  <c r="AE70"/>
  <c r="L70"/>
  <c r="W70" s="1"/>
  <c r="X40" i="1"/>
  <c r="O43"/>
  <c r="U43"/>
  <c r="W43"/>
  <c r="X43"/>
  <c r="Y43"/>
  <c r="AC43"/>
  <c r="K43"/>
  <c r="AB43" s="1"/>
  <c r="AD43" s="1"/>
  <c r="AE43" s="1"/>
  <c r="O42"/>
  <c r="U42"/>
  <c r="W42"/>
  <c r="X42"/>
  <c r="Y42"/>
  <c r="AC42"/>
  <c r="K42"/>
  <c r="AB42" s="1"/>
  <c r="AD42" s="1"/>
  <c r="AE42" s="1"/>
  <c r="U41"/>
  <c r="U40"/>
  <c r="W41"/>
  <c r="X41"/>
  <c r="Y41"/>
  <c r="AC41"/>
  <c r="O41"/>
  <c r="K41"/>
  <c r="W40"/>
  <c r="Y40"/>
  <c r="AC40"/>
  <c r="AH40"/>
  <c r="K40"/>
  <c r="O40"/>
  <c r="AB40" s="1"/>
  <c r="AD40" s="1"/>
  <c r="AE40" s="1"/>
  <c r="V69" i="4"/>
  <c r="X69"/>
  <c r="Y69"/>
  <c r="Z69" s="1"/>
  <c r="AA69"/>
  <c r="AB69"/>
  <c r="AC69"/>
  <c r="AD69"/>
  <c r="AE69"/>
  <c r="L69"/>
  <c r="W69" s="1"/>
  <c r="V66"/>
  <c r="X66"/>
  <c r="Y66"/>
  <c r="Z66" s="1"/>
  <c r="AA66"/>
  <c r="AB66"/>
  <c r="AC66"/>
  <c r="AD66"/>
  <c r="AE66"/>
  <c r="V67"/>
  <c r="W67"/>
  <c r="X67"/>
  <c r="Y67"/>
  <c r="Z67" s="1"/>
  <c r="AA67"/>
  <c r="AC67"/>
  <c r="AD67"/>
  <c r="AE67"/>
  <c r="V68"/>
  <c r="X68"/>
  <c r="Y68"/>
  <c r="Z68" s="1"/>
  <c r="AA68"/>
  <c r="AB68"/>
  <c r="AC68"/>
  <c r="AD68"/>
  <c r="AE68"/>
  <c r="L68"/>
  <c r="W68" s="1"/>
  <c r="L66"/>
  <c r="W66" s="1"/>
  <c r="AB65"/>
  <c r="AA65"/>
  <c r="AC65" s="1"/>
  <c r="Y65"/>
  <c r="X65"/>
  <c r="AD65" s="1"/>
  <c r="V65"/>
  <c r="L65"/>
  <c r="W65" s="1"/>
  <c r="V64"/>
  <c r="W64"/>
  <c r="X64"/>
  <c r="Y64"/>
  <c r="Z64" s="1"/>
  <c r="AA64"/>
  <c r="AB64"/>
  <c r="AC64"/>
  <c r="AD64"/>
  <c r="AE64"/>
  <c r="V63"/>
  <c r="W63"/>
  <c r="X63"/>
  <c r="Y63"/>
  <c r="Z63" s="1"/>
  <c r="AA63"/>
  <c r="AB63"/>
  <c r="AC63"/>
  <c r="AD63"/>
  <c r="AE63"/>
  <c r="V62"/>
  <c r="W62"/>
  <c r="X62"/>
  <c r="Y62"/>
  <c r="Z62" s="1"/>
  <c r="AA62"/>
  <c r="AB62"/>
  <c r="AC62"/>
  <c r="AD62"/>
  <c r="AE62"/>
  <c r="V61"/>
  <c r="W61"/>
  <c r="X61"/>
  <c r="Y61"/>
  <c r="Z61" s="1"/>
  <c r="AA61"/>
  <c r="AB61"/>
  <c r="AC61"/>
  <c r="AD61"/>
  <c r="AE61"/>
  <c r="AB60"/>
  <c r="AA60"/>
  <c r="AC60" s="1"/>
  <c r="X60"/>
  <c r="Y60"/>
  <c r="Z60" s="1"/>
  <c r="AD60"/>
  <c r="AE60"/>
  <c r="AE65"/>
  <c r="W60"/>
  <c r="V59"/>
  <c r="V60"/>
  <c r="AK16" i="3"/>
  <c r="AJ16"/>
  <c r="AH16"/>
  <c r="AF16"/>
  <c r="AE16"/>
  <c r="AD16"/>
  <c r="AC16"/>
  <c r="Z16"/>
  <c r="Y16"/>
  <c r="K16"/>
  <c r="L16"/>
  <c r="M16"/>
  <c r="E8" i="4"/>
  <c r="U85"/>
  <c r="T85"/>
  <c r="R85"/>
  <c r="P85"/>
  <c r="N85"/>
  <c r="M85"/>
  <c r="I85"/>
  <c r="W84"/>
  <c r="X84"/>
  <c r="Y84"/>
  <c r="Z84" s="1"/>
  <c r="AA84"/>
  <c r="AB84"/>
  <c r="AC84"/>
  <c r="AD84"/>
  <c r="AE84"/>
  <c r="W83"/>
  <c r="X83"/>
  <c r="Y83"/>
  <c r="Z83" s="1"/>
  <c r="AA83"/>
  <c r="AB83"/>
  <c r="AC83"/>
  <c r="AD83"/>
  <c r="AE83"/>
  <c r="W82"/>
  <c r="X82"/>
  <c r="Y82"/>
  <c r="Z82" s="1"/>
  <c r="AA82"/>
  <c r="AB82"/>
  <c r="AC82"/>
  <c r="AD82"/>
  <c r="AE82"/>
  <c r="AE81"/>
  <c r="AB81"/>
  <c r="Y81"/>
  <c r="X81"/>
  <c r="F8" s="1"/>
  <c r="AA81"/>
  <c r="AC81" s="1"/>
  <c r="G8" s="1"/>
  <c r="W81"/>
  <c r="V81"/>
  <c r="AE76"/>
  <c r="AB76"/>
  <c r="AA76"/>
  <c r="AC76" s="1"/>
  <c r="Y76"/>
  <c r="X76"/>
  <c r="AD76" s="1"/>
  <c r="V76"/>
  <c r="L76"/>
  <c r="W76" s="1"/>
  <c r="Y80"/>
  <c r="X80"/>
  <c r="AE80"/>
  <c r="AB80"/>
  <c r="AA80"/>
  <c r="AC80" s="1"/>
  <c r="AD80"/>
  <c r="L80"/>
  <c r="W80" s="1"/>
  <c r="Y77"/>
  <c r="AB77"/>
  <c r="V77"/>
  <c r="O77"/>
  <c r="O85" s="1"/>
  <c r="AB71"/>
  <c r="X71"/>
  <c r="Y47"/>
  <c r="S47"/>
  <c r="S85" s="1"/>
  <c r="C96" i="9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O140" i="8"/>
  <c r="M140"/>
  <c r="O139"/>
  <c r="M139"/>
  <c r="O138"/>
  <c r="M138"/>
  <c r="O137"/>
  <c r="M137"/>
  <c r="O136"/>
  <c r="M136"/>
  <c r="O135"/>
  <c r="M135"/>
  <c r="O134"/>
  <c r="M134"/>
  <c r="O133"/>
  <c r="M133"/>
  <c r="O132"/>
  <c r="M132"/>
  <c r="O131"/>
  <c r="M131"/>
  <c r="O130"/>
  <c r="M130"/>
  <c r="O129"/>
  <c r="M129"/>
  <c r="O128"/>
  <c r="M128"/>
  <c r="O127"/>
  <c r="M127"/>
  <c r="O126"/>
  <c r="M126"/>
  <c r="O125"/>
  <c r="M125"/>
  <c r="O124"/>
  <c r="M124"/>
  <c r="O123"/>
  <c r="M123"/>
  <c r="O122"/>
  <c r="M122"/>
  <c r="O121"/>
  <c r="M121"/>
  <c r="O120"/>
  <c r="M120"/>
  <c r="O119"/>
  <c r="M119"/>
  <c r="O118"/>
  <c r="M118"/>
  <c r="O117"/>
  <c r="M117"/>
  <c r="O116"/>
  <c r="M116"/>
  <c r="O115"/>
  <c r="M115"/>
  <c r="O114"/>
  <c r="M114"/>
  <c r="O113"/>
  <c r="M113"/>
  <c r="O112"/>
  <c r="M112"/>
  <c r="O111"/>
  <c r="M111"/>
  <c r="O110"/>
  <c r="M110"/>
  <c r="O109"/>
  <c r="M109"/>
  <c r="O108"/>
  <c r="M108"/>
  <c r="O107"/>
  <c r="M107"/>
  <c r="O106"/>
  <c r="M106"/>
  <c r="O105"/>
  <c r="M105"/>
  <c r="O104"/>
  <c r="M104"/>
  <c r="O103"/>
  <c r="M103"/>
  <c r="O102"/>
  <c r="M102"/>
  <c r="O101"/>
  <c r="M101"/>
  <c r="O100"/>
  <c r="M100"/>
  <c r="O99"/>
  <c r="M99"/>
  <c r="O98"/>
  <c r="M98"/>
  <c r="O97"/>
  <c r="M97"/>
  <c r="O96"/>
  <c r="M96"/>
  <c r="O95"/>
  <c r="M95"/>
  <c r="O94"/>
  <c r="M94"/>
  <c r="O93"/>
  <c r="M93"/>
  <c r="O92"/>
  <c r="M92"/>
  <c r="O91"/>
  <c r="M91"/>
  <c r="O90"/>
  <c r="M90"/>
  <c r="O89"/>
  <c r="M89"/>
  <c r="O88"/>
  <c r="M88"/>
  <c r="O87"/>
  <c r="M87"/>
  <c r="O86"/>
  <c r="M86"/>
  <c r="O85"/>
  <c r="M85"/>
  <c r="O84"/>
  <c r="M84"/>
  <c r="O83"/>
  <c r="M83"/>
  <c r="O82"/>
  <c r="M82"/>
  <c r="O81"/>
  <c r="M81"/>
  <c r="O80"/>
  <c r="M80"/>
  <c r="O79"/>
  <c r="M79"/>
  <c r="O78"/>
  <c r="M78"/>
  <c r="O77"/>
  <c r="M77"/>
  <c r="O76"/>
  <c r="M76"/>
  <c r="O75"/>
  <c r="M75"/>
  <c r="O74"/>
  <c r="M74"/>
  <c r="O73"/>
  <c r="M73"/>
  <c r="O72"/>
  <c r="M72"/>
  <c r="O71"/>
  <c r="M71"/>
  <c r="O70"/>
  <c r="M70"/>
  <c r="O69"/>
  <c r="M69"/>
  <c r="O68"/>
  <c r="M68"/>
  <c r="O67"/>
  <c r="M67"/>
  <c r="O66"/>
  <c r="M66"/>
  <c r="O65"/>
  <c r="M65"/>
  <c r="O64"/>
  <c r="M64"/>
  <c r="O63"/>
  <c r="M63"/>
  <c r="O62"/>
  <c r="M62"/>
  <c r="O61"/>
  <c r="M61"/>
  <c r="O60"/>
  <c r="M60"/>
  <c r="O59"/>
  <c r="M59"/>
  <c r="O58"/>
  <c r="M58"/>
  <c r="O57"/>
  <c r="M57"/>
  <c r="O56"/>
  <c r="M56"/>
  <c r="O55"/>
  <c r="M55"/>
  <c r="O54"/>
  <c r="M54"/>
  <c r="O53"/>
  <c r="M53"/>
  <c r="O52"/>
  <c r="M52"/>
  <c r="O51"/>
  <c r="M51"/>
  <c r="O50"/>
  <c r="M50"/>
  <c r="O49"/>
  <c r="M49"/>
  <c r="O48"/>
  <c r="M48"/>
  <c r="O47"/>
  <c r="M47"/>
  <c r="O46"/>
  <c r="M46"/>
  <c r="O45"/>
  <c r="M45"/>
  <c r="O44"/>
  <c r="M44"/>
  <c r="O43"/>
  <c r="M43"/>
  <c r="O42"/>
  <c r="M42"/>
  <c r="O41"/>
  <c r="M41"/>
  <c r="O40"/>
  <c r="M40"/>
  <c r="O39"/>
  <c r="M39"/>
  <c r="O38"/>
  <c r="M38"/>
  <c r="O37"/>
  <c r="M37"/>
  <c r="O36"/>
  <c r="M36"/>
  <c r="O35"/>
  <c r="M35"/>
  <c r="O34"/>
  <c r="M34"/>
  <c r="O33"/>
  <c r="M33"/>
  <c r="O32"/>
  <c r="M32"/>
  <c r="O31"/>
  <c r="M31"/>
  <c r="O30"/>
  <c r="M30"/>
  <c r="O29"/>
  <c r="M29"/>
  <c r="O28"/>
  <c r="M28"/>
  <c r="O27"/>
  <c r="M27"/>
  <c r="O26"/>
  <c r="M26"/>
  <c r="O25"/>
  <c r="M25"/>
  <c r="O24"/>
  <c r="M24"/>
  <c r="O23"/>
  <c r="M23"/>
  <c r="O22"/>
  <c r="M22"/>
  <c r="O21"/>
  <c r="M21"/>
  <c r="O20"/>
  <c r="M20"/>
  <c r="O19"/>
  <c r="M19"/>
  <c r="O18"/>
  <c r="M18"/>
  <c r="O17"/>
  <c r="M17"/>
  <c r="O16"/>
  <c r="M16"/>
  <c r="O15"/>
  <c r="M15"/>
  <c r="O14"/>
  <c r="M14"/>
  <c r="O13"/>
  <c r="M13"/>
  <c r="O12"/>
  <c r="M12"/>
  <c r="O11"/>
  <c r="M11"/>
  <c r="O10"/>
  <c r="M10"/>
  <c r="O9"/>
  <c r="M9"/>
  <c r="O8"/>
  <c r="M8"/>
  <c r="O7"/>
  <c r="M7"/>
  <c r="O6"/>
  <c r="M6"/>
  <c r="O5"/>
  <c r="M5"/>
  <c r="O4"/>
  <c r="M4"/>
  <c r="O3"/>
  <c r="M3"/>
  <c r="O2"/>
  <c r="M2"/>
  <c r="T27"/>
  <c r="O146"/>
  <c r="M146"/>
  <c r="K55" i="4"/>
  <c r="K56"/>
  <c r="K59"/>
  <c r="K53"/>
  <c r="K85" s="1"/>
  <c r="I5" i="1"/>
  <c r="I4"/>
  <c r="H5"/>
  <c r="H4"/>
  <c r="G5"/>
  <c r="G6"/>
  <c r="G4"/>
  <c r="H6" i="2"/>
  <c r="H5"/>
  <c r="G6"/>
  <c r="G5"/>
  <c r="F6"/>
  <c r="F5"/>
  <c r="AC23" i="3"/>
  <c r="Y71" i="4"/>
  <c r="Z71" s="1"/>
  <c r="AD24" i="3"/>
  <c r="AD25"/>
  <c r="K14" i="1"/>
  <c r="AF9" i="3"/>
  <c r="AJ9" s="1"/>
  <c r="AK9" s="1"/>
  <c r="AC44" i="1"/>
  <c r="AC45"/>
  <c r="X474" i="5"/>
  <c r="AA14" i="4"/>
  <c r="AA13"/>
  <c r="AA72"/>
  <c r="AA73"/>
  <c r="AA74"/>
  <c r="AA75"/>
  <c r="AA71"/>
  <c r="P12" i="2"/>
  <c r="P13"/>
  <c r="P11"/>
  <c r="H12"/>
  <c r="H13"/>
  <c r="H11"/>
  <c r="Y66" i="5" a="1"/>
  <c r="Y66"/>
  <c r="AA59" i="4"/>
  <c r="AA40"/>
  <c r="AC24" i="3"/>
  <c r="O31"/>
  <c r="K29"/>
  <c r="K30"/>
  <c r="K31"/>
  <c r="K32"/>
  <c r="K34"/>
  <c r="K35"/>
  <c r="K36"/>
  <c r="AD20"/>
  <c r="X20"/>
  <c r="Y20"/>
  <c r="AH17"/>
  <c r="AJ17" s="1"/>
  <c r="AK17" s="1"/>
  <c r="W15" i="1"/>
  <c r="X3" i="5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X137"/>
  <c r="X138"/>
  <c r="X139"/>
  <c r="X140"/>
  <c r="X141"/>
  <c r="X142"/>
  <c r="X143"/>
  <c r="X144"/>
  <c r="X145"/>
  <c r="X146"/>
  <c r="X147"/>
  <c r="X148"/>
  <c r="X149"/>
  <c r="X150"/>
  <c r="X151"/>
  <c r="X152"/>
  <c r="X153"/>
  <c r="X154"/>
  <c r="X155"/>
  <c r="X156"/>
  <c r="X157"/>
  <c r="X158"/>
  <c r="X159"/>
  <c r="X160"/>
  <c r="X161"/>
  <c r="X162"/>
  <c r="X163"/>
  <c r="X164"/>
  <c r="X165"/>
  <c r="X166"/>
  <c r="X167"/>
  <c r="X168"/>
  <c r="X169"/>
  <c r="X170"/>
  <c r="X171"/>
  <c r="X172"/>
  <c r="X173"/>
  <c r="X174"/>
  <c r="X175"/>
  <c r="X176"/>
  <c r="X177"/>
  <c r="X178"/>
  <c r="X179"/>
  <c r="X180"/>
  <c r="X181"/>
  <c r="X182"/>
  <c r="X183"/>
  <c r="X184"/>
  <c r="X185"/>
  <c r="X186"/>
  <c r="X187"/>
  <c r="X188"/>
  <c r="X189"/>
  <c r="X190"/>
  <c r="X191"/>
  <c r="X192"/>
  <c r="X193"/>
  <c r="X194"/>
  <c r="X195"/>
  <c r="X196"/>
  <c r="X197"/>
  <c r="X198"/>
  <c r="X199"/>
  <c r="X200"/>
  <c r="X201"/>
  <c r="X202"/>
  <c r="X203"/>
  <c r="X204"/>
  <c r="X205"/>
  <c r="X206"/>
  <c r="X207"/>
  <c r="X208"/>
  <c r="X209"/>
  <c r="X210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X236"/>
  <c r="X237"/>
  <c r="X238"/>
  <c r="X239"/>
  <c r="X240"/>
  <c r="X241"/>
  <c r="X242"/>
  <c r="X243"/>
  <c r="X244"/>
  <c r="X245"/>
  <c r="X246"/>
  <c r="X247"/>
  <c r="X248"/>
  <c r="X249"/>
  <c r="X250"/>
  <c r="X251"/>
  <c r="X25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462"/>
  <c r="X463"/>
  <c r="X464"/>
  <c r="X465"/>
  <c r="X466"/>
  <c r="X467"/>
  <c r="X468"/>
  <c r="X469"/>
  <c r="X470"/>
  <c r="X471"/>
  <c r="X472"/>
  <c r="X473"/>
  <c r="X475"/>
  <c r="X476"/>
  <c r="X477"/>
  <c r="X478"/>
  <c r="X479"/>
  <c r="X480"/>
  <c r="X481"/>
  <c r="X482"/>
  <c r="X483"/>
  <c r="X484"/>
  <c r="X485"/>
  <c r="X486"/>
  <c r="X487"/>
  <c r="X488"/>
  <c r="X489"/>
  <c r="X490"/>
  <c r="X491"/>
  <c r="X492"/>
  <c r="X493"/>
  <c r="X494"/>
  <c r="X495"/>
  <c r="X496"/>
  <c r="X497"/>
  <c r="X498"/>
  <c r="X499"/>
  <c r="X500"/>
  <c r="X501"/>
  <c r="X502"/>
  <c r="X503"/>
  <c r="X504"/>
  <c r="X505"/>
  <c r="X506"/>
  <c r="X507"/>
  <c r="X508"/>
  <c r="X509"/>
  <c r="X510"/>
  <c r="X511"/>
  <c r="X512"/>
  <c r="X513"/>
  <c r="X514"/>
  <c r="X515"/>
  <c r="X516"/>
  <c r="X517"/>
  <c r="X518"/>
  <c r="X519"/>
  <c r="X520"/>
  <c r="X521"/>
  <c r="X2"/>
  <c r="AC23" i="1"/>
  <c r="O32"/>
  <c r="P32"/>
  <c r="W32"/>
  <c r="W13"/>
  <c r="AE14" i="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71"/>
  <c r="AE72"/>
  <c r="AE73"/>
  <c r="AE74"/>
  <c r="AE75"/>
  <c r="AE78"/>
  <c r="AE79"/>
  <c r="AE77"/>
  <c r="AE13"/>
  <c r="S26" i="3"/>
  <c r="T26"/>
  <c r="U26"/>
  <c r="V26"/>
  <c r="W26"/>
  <c r="AL26"/>
  <c r="AM26"/>
  <c r="N26"/>
  <c r="N46" i="1"/>
  <c r="P46"/>
  <c r="Q46"/>
  <c r="R46"/>
  <c r="S46"/>
  <c r="T46"/>
  <c r="U46"/>
  <c r="Z46"/>
  <c r="AA46"/>
  <c r="L46"/>
  <c r="J14" i="2"/>
  <c r="K14"/>
  <c r="L14"/>
  <c r="N14"/>
  <c r="AB47" i="4"/>
  <c r="AB45"/>
  <c r="AB42"/>
  <c r="AB36"/>
  <c r="AB37"/>
  <c r="AB38"/>
  <c r="AB39"/>
  <c r="AB3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15"/>
  <c r="AA54"/>
  <c r="AA55"/>
  <c r="AA56"/>
  <c r="AA57"/>
  <c r="AA58"/>
  <c r="AA53"/>
  <c r="AA52"/>
  <c r="AA51"/>
  <c r="AA50"/>
  <c r="AA49"/>
  <c r="AA48"/>
  <c r="AA36"/>
  <c r="AA37"/>
  <c r="AA38"/>
  <c r="AA39"/>
  <c r="AA41"/>
  <c r="AA42"/>
  <c r="AA43"/>
  <c r="AA44"/>
  <c r="AA45"/>
  <c r="AA46"/>
  <c r="AA3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47"/>
  <c r="AA15"/>
  <c r="O22" i="3"/>
  <c r="O21"/>
  <c r="O10"/>
  <c r="O11"/>
  <c r="O12"/>
  <c r="O13"/>
  <c r="O14"/>
  <c r="O15"/>
  <c r="O17"/>
  <c r="O18"/>
  <c r="O19"/>
  <c r="O9"/>
  <c r="O26" s="1"/>
  <c r="G3"/>
  <c r="G5"/>
  <c r="G4"/>
  <c r="G6"/>
  <c r="H8" i="1"/>
  <c r="H7"/>
  <c r="I8"/>
  <c r="W45"/>
  <c r="V45"/>
  <c r="X45"/>
  <c r="W44"/>
  <c r="H6" s="1"/>
  <c r="V44"/>
  <c r="V46" s="1"/>
  <c r="X44"/>
  <c r="K44"/>
  <c r="AB44" s="1"/>
  <c r="Y44"/>
  <c r="AH44"/>
  <c r="K45"/>
  <c r="AB45" s="1"/>
  <c r="Y45"/>
  <c r="AH45"/>
  <c r="Y75" i="4"/>
  <c r="X75"/>
  <c r="AB75"/>
  <c r="AC75"/>
  <c r="AD75"/>
  <c r="V75"/>
  <c r="L75"/>
  <c r="W75" s="1"/>
  <c r="AH23" i="3"/>
  <c r="AH24"/>
  <c r="AH25"/>
  <c r="AH21"/>
  <c r="AJ21" s="1"/>
  <c r="AK21" s="1"/>
  <c r="AH22"/>
  <c r="AJ22" s="1"/>
  <c r="AK22" s="1"/>
  <c r="AH18"/>
  <c r="AJ18" s="1"/>
  <c r="AK18" s="1"/>
  <c r="AH19"/>
  <c r="AJ19" s="1"/>
  <c r="AK19" s="1"/>
  <c r="X32" i="1"/>
  <c r="X23"/>
  <c r="X16"/>
  <c r="X15"/>
  <c r="AD23" i="3"/>
  <c r="AE23" s="1"/>
  <c r="AD22"/>
  <c r="AD21"/>
  <c r="Y12"/>
  <c r="Y78" i="4"/>
  <c r="Y79"/>
  <c r="Y72"/>
  <c r="Y73"/>
  <c r="Y74"/>
  <c r="Y41"/>
  <c r="X14"/>
  <c r="X13"/>
  <c r="V85"/>
  <c r="Y14"/>
  <c r="Z14" s="1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2"/>
  <c r="Y43"/>
  <c r="Y59"/>
  <c r="Y44"/>
  <c r="Y45"/>
  <c r="Y46"/>
  <c r="Y48"/>
  <c r="Y49"/>
  <c r="Y50"/>
  <c r="Y51"/>
  <c r="Y52"/>
  <c r="Y53"/>
  <c r="Y54"/>
  <c r="Y55"/>
  <c r="Y56"/>
  <c r="Y57"/>
  <c r="Y58"/>
  <c r="Y13"/>
  <c r="Z13" s="1"/>
  <c r="AD10" i="3"/>
  <c r="AD11"/>
  <c r="AD12"/>
  <c r="AD13"/>
  <c r="AD14"/>
  <c r="AD15"/>
  <c r="AD17"/>
  <c r="AD18"/>
  <c r="AD19"/>
  <c r="AD9"/>
  <c r="AD26" s="1"/>
  <c r="X14" i="1"/>
  <c r="X17"/>
  <c r="X18"/>
  <c r="X19"/>
  <c r="X20"/>
  <c r="X21"/>
  <c r="X22"/>
  <c r="X24"/>
  <c r="X25"/>
  <c r="X26"/>
  <c r="X27"/>
  <c r="X28"/>
  <c r="X29"/>
  <c r="X30"/>
  <c r="X31"/>
  <c r="X33"/>
  <c r="X34"/>
  <c r="X35"/>
  <c r="X36"/>
  <c r="X37"/>
  <c r="X38"/>
  <c r="X39"/>
  <c r="X13"/>
  <c r="Y25" i="3"/>
  <c r="Y24"/>
  <c r="R24"/>
  <c r="R25"/>
  <c r="Y23"/>
  <c r="K25"/>
  <c r="L25"/>
  <c r="M25"/>
  <c r="Z25"/>
  <c r="AC25"/>
  <c r="L73" i="4"/>
  <c r="W73" s="1"/>
  <c r="L74"/>
  <c r="W74" s="1"/>
  <c r="L72"/>
  <c r="W72" s="1"/>
  <c r="C4" i="6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3"/>
  <c r="X12" i="2"/>
  <c r="X13"/>
  <c r="X11"/>
  <c r="H4"/>
  <c r="G4"/>
  <c r="F4"/>
  <c r="M13"/>
  <c r="M11"/>
  <c r="I13"/>
  <c r="W11"/>
  <c r="Y13"/>
  <c r="W13"/>
  <c r="Y12"/>
  <c r="W12"/>
  <c r="M12"/>
  <c r="I12"/>
  <c r="K17" i="3"/>
  <c r="L17"/>
  <c r="M17"/>
  <c r="R17"/>
  <c r="Z17"/>
  <c r="AC17"/>
  <c r="AE17"/>
  <c r="K18"/>
  <c r="L18"/>
  <c r="M18"/>
  <c r="R18"/>
  <c r="Z18"/>
  <c r="AC18"/>
  <c r="AE18"/>
  <c r="K19"/>
  <c r="L19"/>
  <c r="M19"/>
  <c r="R19"/>
  <c r="Z19"/>
  <c r="AC19"/>
  <c r="AE19"/>
  <c r="L20"/>
  <c r="M20"/>
  <c r="R20"/>
  <c r="AF20" s="1"/>
  <c r="Z20"/>
  <c r="AC20"/>
  <c r="AE20"/>
  <c r="K21"/>
  <c r="L21"/>
  <c r="M21"/>
  <c r="R21"/>
  <c r="Z21"/>
  <c r="AC21"/>
  <c r="AE21"/>
  <c r="K22"/>
  <c r="L22"/>
  <c r="M22"/>
  <c r="R22"/>
  <c r="Z22"/>
  <c r="AC22"/>
  <c r="AE22"/>
  <c r="K23"/>
  <c r="L23"/>
  <c r="M23"/>
  <c r="R23"/>
  <c r="Z23"/>
  <c r="K24"/>
  <c r="L24"/>
  <c r="M24"/>
  <c r="Z24"/>
  <c r="W53" i="4"/>
  <c r="L54"/>
  <c r="W54" s="1"/>
  <c r="W55"/>
  <c r="W56"/>
  <c r="L57"/>
  <c r="W57" s="1"/>
  <c r="L58"/>
  <c r="W58" s="1"/>
  <c r="X57"/>
  <c r="AB57"/>
  <c r="AC57"/>
  <c r="AD57"/>
  <c r="X58"/>
  <c r="AB58"/>
  <c r="AC58"/>
  <c r="AD58"/>
  <c r="L71"/>
  <c r="W71" s="1"/>
  <c r="F7"/>
  <c r="AC71"/>
  <c r="G7" s="1"/>
  <c r="H7" s="1"/>
  <c r="AD71"/>
  <c r="X72"/>
  <c r="AB72"/>
  <c r="AC72"/>
  <c r="AD72"/>
  <c r="X73"/>
  <c r="AB73"/>
  <c r="AC73"/>
  <c r="AD73"/>
  <c r="X74"/>
  <c r="AB74"/>
  <c r="AC74"/>
  <c r="AD74"/>
  <c r="L78"/>
  <c r="W78" s="1"/>
  <c r="X78"/>
  <c r="AB78"/>
  <c r="AC78"/>
  <c r="AD78"/>
  <c r="L79"/>
  <c r="W79" s="1"/>
  <c r="X79"/>
  <c r="AB79"/>
  <c r="AC79"/>
  <c r="AD79"/>
  <c r="L77"/>
  <c r="L34"/>
  <c r="W34" s="1"/>
  <c r="L33"/>
  <c r="W33" s="1"/>
  <c r="L32"/>
  <c r="W32" s="1"/>
  <c r="L31"/>
  <c r="W31" s="1"/>
  <c r="L30"/>
  <c r="W30" s="1"/>
  <c r="L29"/>
  <c r="W29" s="1"/>
  <c r="L28"/>
  <c r="W28" s="1"/>
  <c r="L27"/>
  <c r="W27" s="1"/>
  <c r="L26"/>
  <c r="W26" s="1"/>
  <c r="L25"/>
  <c r="W25" s="1"/>
  <c r="L24"/>
  <c r="W24" s="1"/>
  <c r="L23"/>
  <c r="W23" s="1"/>
  <c r="L22"/>
  <c r="W22" s="1"/>
  <c r="L21"/>
  <c r="W21" s="1"/>
  <c r="L20"/>
  <c r="W20" s="1"/>
  <c r="L19"/>
  <c r="W19" s="1"/>
  <c r="L18"/>
  <c r="W18" s="1"/>
  <c r="L17"/>
  <c r="W17" s="1"/>
  <c r="L16"/>
  <c r="W16" s="1"/>
  <c r="L15"/>
  <c r="W15" s="1"/>
  <c r="AF11" i="3"/>
  <c r="AJ11" s="1"/>
  <c r="AK11" s="1"/>
  <c r="AF12"/>
  <c r="AJ12" s="1"/>
  <c r="AK12" s="1"/>
  <c r="AF13"/>
  <c r="AJ13" s="1"/>
  <c r="AK13" s="1"/>
  <c r="AF14"/>
  <c r="AJ14" s="1"/>
  <c r="AK14" s="1"/>
  <c r="AF15"/>
  <c r="AJ15" s="1"/>
  <c r="AK15" s="1"/>
  <c r="AF10"/>
  <c r="AJ10" s="1"/>
  <c r="AK10" s="1"/>
  <c r="Y11"/>
  <c r="Z11" s="1"/>
  <c r="Z12"/>
  <c r="Y13"/>
  <c r="Z13" s="1"/>
  <c r="Y14"/>
  <c r="Z14" s="1"/>
  <c r="Y15"/>
  <c r="Z15" s="1"/>
  <c r="Y10"/>
  <c r="Z10" s="1"/>
  <c r="Y9"/>
  <c r="X26" i="4"/>
  <c r="AC26"/>
  <c r="AD26"/>
  <c r="X27"/>
  <c r="AC27"/>
  <c r="AD27"/>
  <c r="X28"/>
  <c r="AC28"/>
  <c r="AD28"/>
  <c r="X29"/>
  <c r="AC29"/>
  <c r="AD29"/>
  <c r="X30"/>
  <c r="AC30"/>
  <c r="AD30"/>
  <c r="X31"/>
  <c r="AC31"/>
  <c r="AD31"/>
  <c r="X32"/>
  <c r="AC32"/>
  <c r="AD32"/>
  <c r="X33"/>
  <c r="AC33"/>
  <c r="AD33"/>
  <c r="X34"/>
  <c r="AC34"/>
  <c r="AD34"/>
  <c r="L35"/>
  <c r="W35" s="1"/>
  <c r="X35"/>
  <c r="AC35"/>
  <c r="AD35"/>
  <c r="L36"/>
  <c r="W36" s="1"/>
  <c r="X36"/>
  <c r="AC36"/>
  <c r="AD36"/>
  <c r="L37"/>
  <c r="W37" s="1"/>
  <c r="X37"/>
  <c r="AC37"/>
  <c r="AD37"/>
  <c r="L38"/>
  <c r="W38" s="1"/>
  <c r="X38"/>
  <c r="AC38"/>
  <c r="AD38"/>
  <c r="L39"/>
  <c r="W39" s="1"/>
  <c r="X39"/>
  <c r="AC39"/>
  <c r="AD39"/>
  <c r="L40"/>
  <c r="W40" s="1"/>
  <c r="X40"/>
  <c r="AB40"/>
  <c r="AC40"/>
  <c r="AD40"/>
  <c r="L41"/>
  <c r="W41" s="1"/>
  <c r="X41"/>
  <c r="AB41"/>
  <c r="AC41"/>
  <c r="AD41"/>
  <c r="L42"/>
  <c r="W42" s="1"/>
  <c r="X42"/>
  <c r="AC42"/>
  <c r="AD42"/>
  <c r="L43"/>
  <c r="W43" s="1"/>
  <c r="X43"/>
  <c r="AB43"/>
  <c r="AC43"/>
  <c r="AD43"/>
  <c r="W59"/>
  <c r="X59"/>
  <c r="AB59"/>
  <c r="AC59"/>
  <c r="AD59"/>
  <c r="L44"/>
  <c r="W44" s="1"/>
  <c r="X44"/>
  <c r="AB44"/>
  <c r="AC44"/>
  <c r="AD44"/>
  <c r="L45"/>
  <c r="W45" s="1"/>
  <c r="X45"/>
  <c r="AC45"/>
  <c r="AD45"/>
  <c r="L46"/>
  <c r="W46" s="1"/>
  <c r="X46"/>
  <c r="AB46"/>
  <c r="AC46"/>
  <c r="AD46"/>
  <c r="L47"/>
  <c r="W47" s="1"/>
  <c r="X47"/>
  <c r="AC47"/>
  <c r="AD47"/>
  <c r="L48"/>
  <c r="W48" s="1"/>
  <c r="X48"/>
  <c r="AB48"/>
  <c r="AC48"/>
  <c r="AD48"/>
  <c r="L49"/>
  <c r="W49" s="1"/>
  <c r="X49"/>
  <c r="AB49"/>
  <c r="AC49"/>
  <c r="AD49"/>
  <c r="L50"/>
  <c r="W50" s="1"/>
  <c r="X50"/>
  <c r="AB50"/>
  <c r="AC50"/>
  <c r="AD50"/>
  <c r="L51"/>
  <c r="W51" s="1"/>
  <c r="X51"/>
  <c r="AB51"/>
  <c r="AC51"/>
  <c r="AD51"/>
  <c r="L52"/>
  <c r="W52" s="1"/>
  <c r="X52"/>
  <c r="AB52"/>
  <c r="AC52"/>
  <c r="AD52"/>
  <c r="X53"/>
  <c r="AB53"/>
  <c r="AC53"/>
  <c r="AD53"/>
  <c r="X54"/>
  <c r="AB54"/>
  <c r="AC54"/>
  <c r="AD54"/>
  <c r="X55"/>
  <c r="AB55"/>
  <c r="AC55"/>
  <c r="AD55"/>
  <c r="X56"/>
  <c r="AB56"/>
  <c r="AC56"/>
  <c r="AD56"/>
  <c r="O39" i="1"/>
  <c r="O38"/>
  <c r="O37"/>
  <c r="O36"/>
  <c r="O35"/>
  <c r="O34"/>
  <c r="O33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AB14" s="1"/>
  <c r="O13"/>
  <c r="K13"/>
  <c r="Y13"/>
  <c r="AC13"/>
  <c r="AH13"/>
  <c r="W14"/>
  <c r="Y14"/>
  <c r="AC14"/>
  <c r="AD14"/>
  <c r="AE14"/>
  <c r="AF14"/>
  <c r="AH14"/>
  <c r="K15"/>
  <c r="Y15"/>
  <c r="AC15"/>
  <c r="AH15"/>
  <c r="K16"/>
  <c r="W16"/>
  <c r="Y16"/>
  <c r="AC16"/>
  <c r="AH16"/>
  <c r="K17"/>
  <c r="W17"/>
  <c r="Y17"/>
  <c r="AC17"/>
  <c r="AH17"/>
  <c r="K18"/>
  <c r="W18"/>
  <c r="Y18"/>
  <c r="AC18"/>
  <c r="AH18"/>
  <c r="K19"/>
  <c r="W19"/>
  <c r="Y19"/>
  <c r="AC19"/>
  <c r="AH19"/>
  <c r="K20"/>
  <c r="W20"/>
  <c r="Y20"/>
  <c r="AC20"/>
  <c r="AH20"/>
  <c r="K21"/>
  <c r="W21"/>
  <c r="Y21"/>
  <c r="AC21"/>
  <c r="AH21"/>
  <c r="K22"/>
  <c r="W22"/>
  <c r="Y22"/>
  <c r="AC22"/>
  <c r="AH22"/>
  <c r="K23"/>
  <c r="W23"/>
  <c r="Y23"/>
  <c r="K24"/>
  <c r="W24"/>
  <c r="Y24"/>
  <c r="AC24"/>
  <c r="AH24"/>
  <c r="K25"/>
  <c r="W25"/>
  <c r="Y25"/>
  <c r="AC25"/>
  <c r="AH25"/>
  <c r="K26"/>
  <c r="W26"/>
  <c r="Y26"/>
  <c r="AC26"/>
  <c r="AH26"/>
  <c r="K27"/>
  <c r="W27"/>
  <c r="Y27"/>
  <c r="AC27"/>
  <c r="AH27"/>
  <c r="K28"/>
  <c r="W28"/>
  <c r="Y28"/>
  <c r="AC28"/>
  <c r="AH28"/>
  <c r="K29"/>
  <c r="W29"/>
  <c r="Y29"/>
  <c r="AC29"/>
  <c r="AH29"/>
  <c r="K30"/>
  <c r="W30"/>
  <c r="Y30"/>
  <c r="AC30"/>
  <c r="AH30"/>
  <c r="K31"/>
  <c r="W31"/>
  <c r="Y31"/>
  <c r="AC31"/>
  <c r="AH31"/>
  <c r="K32"/>
  <c r="AC32"/>
  <c r="K33"/>
  <c r="W33"/>
  <c r="Y33"/>
  <c r="AC33"/>
  <c r="AH33"/>
  <c r="K34"/>
  <c r="W34"/>
  <c r="Y34"/>
  <c r="AC34"/>
  <c r="AH34"/>
  <c r="K35"/>
  <c r="W35"/>
  <c r="Y35"/>
  <c r="AC35"/>
  <c r="AH35"/>
  <c r="K36"/>
  <c r="W36"/>
  <c r="Y36"/>
  <c r="AC36"/>
  <c r="AH36"/>
  <c r="K37"/>
  <c r="W37"/>
  <c r="Y37"/>
  <c r="AC37"/>
  <c r="AH37"/>
  <c r="K38"/>
  <c r="W38"/>
  <c r="Y38"/>
  <c r="AC38"/>
  <c r="AH38"/>
  <c r="K39"/>
  <c r="W39"/>
  <c r="Y39"/>
  <c r="AC39"/>
  <c r="AH39"/>
  <c r="L14" i="4"/>
  <c r="AC14"/>
  <c r="AD14"/>
  <c r="X15"/>
  <c r="AC15"/>
  <c r="AD15"/>
  <c r="X16"/>
  <c r="AC16"/>
  <c r="AD16"/>
  <c r="X17"/>
  <c r="AC17"/>
  <c r="AD17"/>
  <c r="X18"/>
  <c r="AC18"/>
  <c r="AD18"/>
  <c r="X19"/>
  <c r="AC19"/>
  <c r="AD19"/>
  <c r="X20"/>
  <c r="AC20"/>
  <c r="AD20"/>
  <c r="X21"/>
  <c r="AC21"/>
  <c r="AD21"/>
  <c r="X22"/>
  <c r="AC22"/>
  <c r="AD22"/>
  <c r="X23"/>
  <c r="AC23"/>
  <c r="AD23"/>
  <c r="X24"/>
  <c r="AC24"/>
  <c r="AD24"/>
  <c r="X25"/>
  <c r="AC25"/>
  <c r="AD25"/>
  <c r="L13"/>
  <c r="K10" i="3"/>
  <c r="L10"/>
  <c r="M10"/>
  <c r="R10"/>
  <c r="AC10"/>
  <c r="AE10"/>
  <c r="K11"/>
  <c r="L11"/>
  <c r="M11"/>
  <c r="R11"/>
  <c r="AC11"/>
  <c r="AE11"/>
  <c r="K12"/>
  <c r="L12"/>
  <c r="M12"/>
  <c r="R12"/>
  <c r="AC12"/>
  <c r="AE12"/>
  <c r="K13"/>
  <c r="L13"/>
  <c r="M13"/>
  <c r="R13"/>
  <c r="AC13"/>
  <c r="AE13"/>
  <c r="K14"/>
  <c r="L14"/>
  <c r="M14"/>
  <c r="R14"/>
  <c r="AC14"/>
  <c r="AE14"/>
  <c r="K15"/>
  <c r="L15"/>
  <c r="M15"/>
  <c r="R15"/>
  <c r="AC15"/>
  <c r="AE15"/>
  <c r="AC9"/>
  <c r="AC26" s="1"/>
  <c r="R9"/>
  <c r="R26" s="1"/>
  <c r="L9"/>
  <c r="K9"/>
  <c r="M9" s="1"/>
  <c r="Z58" i="4" l="1"/>
  <c r="Z57"/>
  <c r="Z56"/>
  <c r="Z55"/>
  <c r="Z54"/>
  <c r="Z53"/>
  <c r="Z52"/>
  <c r="Z51"/>
  <c r="Z50"/>
  <c r="Z49"/>
  <c r="Z48"/>
  <c r="Z46"/>
  <c r="Z45"/>
  <c r="Z44"/>
  <c r="Z59"/>
  <c r="Z43"/>
  <c r="Z42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41"/>
  <c r="Z74"/>
  <c r="Z73"/>
  <c r="Z72"/>
  <c r="Z79"/>
  <c r="Z78"/>
  <c r="Z75"/>
  <c r="Z47"/>
  <c r="Z80"/>
  <c r="Z76"/>
  <c r="Z81"/>
  <c r="Z65"/>
  <c r="Z70"/>
  <c r="AB41" i="1"/>
  <c r="AD41" s="1"/>
  <c r="AE41" s="1"/>
  <c r="H8" i="4"/>
  <c r="AG24" i="3"/>
  <c r="AG25"/>
  <c r="AG23"/>
  <c r="AF23"/>
  <c r="AJ23" s="1"/>
  <c r="AF24"/>
  <c r="AJ24" s="1"/>
  <c r="AF25"/>
  <c r="AJ25" s="1"/>
  <c r="AK25" s="1"/>
  <c r="AK24"/>
  <c r="AE25"/>
  <c r="AE24"/>
  <c r="AK23"/>
  <c r="W14" i="4"/>
  <c r="L85"/>
  <c r="Y85"/>
  <c r="AB85"/>
  <c r="AE85"/>
  <c r="AD81"/>
  <c r="X46" i="1"/>
  <c r="AA77" i="4"/>
  <c r="AA85" s="1"/>
  <c r="X77"/>
  <c r="W77"/>
  <c r="AB13" i="1"/>
  <c r="G3"/>
  <c r="H3"/>
  <c r="J4"/>
  <c r="J5"/>
  <c r="J8"/>
  <c r="AD13"/>
  <c r="AB15"/>
  <c r="AD15" s="1"/>
  <c r="AE15" s="1"/>
  <c r="AB16"/>
  <c r="AD16" s="1"/>
  <c r="AE16" s="1"/>
  <c r="AB17"/>
  <c r="AD17" s="1"/>
  <c r="AE17" s="1"/>
  <c r="AB18"/>
  <c r="AD18" s="1"/>
  <c r="AE18" s="1"/>
  <c r="AB19"/>
  <c r="AD19" s="1"/>
  <c r="AE19" s="1"/>
  <c r="AB20"/>
  <c r="AD20" s="1"/>
  <c r="AE20" s="1"/>
  <c r="AB21"/>
  <c r="AD21" s="1"/>
  <c r="AE21" s="1"/>
  <c r="AB22"/>
  <c r="AD22" s="1"/>
  <c r="AE22" s="1"/>
  <c r="AB23"/>
  <c r="AD23" s="1"/>
  <c r="AB24"/>
  <c r="AD24" s="1"/>
  <c r="AE24" s="1"/>
  <c r="AB25"/>
  <c r="AD25" s="1"/>
  <c r="AE25" s="1"/>
  <c r="AB26"/>
  <c r="AD26" s="1"/>
  <c r="AE26" s="1"/>
  <c r="AB27"/>
  <c r="AD27" s="1"/>
  <c r="AE27" s="1"/>
  <c r="AB28"/>
  <c r="AD28" s="1"/>
  <c r="AE28" s="1"/>
  <c r="AB29"/>
  <c r="AD29" s="1"/>
  <c r="AE29" s="1"/>
  <c r="AB30"/>
  <c r="AD30" s="1"/>
  <c r="AE30" s="1"/>
  <c r="AB31"/>
  <c r="AD31" s="1"/>
  <c r="AE31" s="1"/>
  <c r="AB33"/>
  <c r="AD33" s="1"/>
  <c r="AE33" s="1"/>
  <c r="AB34"/>
  <c r="AD34" s="1"/>
  <c r="AE34" s="1"/>
  <c r="AB35"/>
  <c r="AD35" s="1"/>
  <c r="AE35" s="1"/>
  <c r="AB36"/>
  <c r="AD36" s="1"/>
  <c r="AE36" s="1"/>
  <c r="AB37"/>
  <c r="AD37" s="1"/>
  <c r="AE37" s="1"/>
  <c r="AB38"/>
  <c r="AD38" s="1"/>
  <c r="AE38" s="1"/>
  <c r="AB39"/>
  <c r="AD39" s="1"/>
  <c r="AE39" s="1"/>
  <c r="AB32"/>
  <c r="AD32" s="1"/>
  <c r="AH32" s="1"/>
  <c r="AC77" i="4"/>
  <c r="O12" i="2"/>
  <c r="T12"/>
  <c r="O13"/>
  <c r="T13"/>
  <c r="E4" i="4"/>
  <c r="AC13"/>
  <c r="AG26" i="3"/>
  <c r="AF26"/>
  <c r="I3"/>
  <c r="Y26"/>
  <c r="Z9"/>
  <c r="Z26" s="1"/>
  <c r="AD45" i="1"/>
  <c r="AE45"/>
  <c r="AE44"/>
  <c r="AD44"/>
  <c r="I6" s="1"/>
  <c r="J6" s="1"/>
  <c r="AE23"/>
  <c r="AH23" s="1"/>
  <c r="Y32"/>
  <c r="X14" i="2"/>
  <c r="Y11"/>
  <c r="W14"/>
  <c r="Y14"/>
  <c r="M14"/>
  <c r="AD46" i="1"/>
  <c r="AC46"/>
  <c r="AB46"/>
  <c r="Y46"/>
  <c r="W46"/>
  <c r="O46"/>
  <c r="G9"/>
  <c r="AH20" i="3"/>
  <c r="AJ20" s="1"/>
  <c r="AK20" s="1"/>
  <c r="X26"/>
  <c r="AH26"/>
  <c r="F5" i="4"/>
  <c r="F6"/>
  <c r="E7"/>
  <c r="E6"/>
  <c r="F4"/>
  <c r="F9" s="1"/>
  <c r="G5"/>
  <c r="G6"/>
  <c r="H6" s="1"/>
  <c r="G4"/>
  <c r="G9" s="1"/>
  <c r="W13"/>
  <c r="E5"/>
  <c r="H5"/>
  <c r="H4"/>
  <c r="H9" s="1"/>
  <c r="AE9" i="3"/>
  <c r="H3"/>
  <c r="I5"/>
  <c r="H5"/>
  <c r="J5" s="1"/>
  <c r="H4"/>
  <c r="H6"/>
  <c r="H9" i="1"/>
  <c r="I7"/>
  <c r="J7" s="1"/>
  <c r="G7" i="2"/>
  <c r="I4"/>
  <c r="Z12"/>
  <c r="R12"/>
  <c r="Q12"/>
  <c r="S12" s="1"/>
  <c r="Z13"/>
  <c r="R13"/>
  <c r="Q13"/>
  <c r="S13" s="1"/>
  <c r="AD13" i="4"/>
  <c r="X85" l="1"/>
  <c r="Z77"/>
  <c r="K2" i="8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146"/>
  <c r="L43"/>
  <c r="L45"/>
  <c r="L44"/>
  <c r="L17"/>
  <c r="L24"/>
  <c r="L53"/>
  <c r="L49"/>
  <c r="L52"/>
  <c r="L46"/>
  <c r="E9" i="4"/>
  <c r="AD77"/>
  <c r="AD85" s="1"/>
  <c r="AC85"/>
  <c r="Z85"/>
  <c r="AE13" i="1"/>
  <c r="I3"/>
  <c r="AE46"/>
  <c r="J3"/>
  <c r="AJ26" i="3"/>
  <c r="AE26"/>
  <c r="I120" i="4"/>
  <c r="I121"/>
  <c r="I122"/>
  <c r="I123"/>
  <c r="I124"/>
  <c r="I125"/>
  <c r="I126"/>
  <c r="I9" i="1"/>
  <c r="J9"/>
  <c r="I4" i="3" l="1"/>
  <c r="J4" s="1"/>
  <c r="AK26"/>
  <c r="I6"/>
  <c r="J3"/>
  <c r="J6" s="1"/>
  <c r="I11" i="2"/>
  <c r="Z11"/>
  <c r="T11"/>
  <c r="T14" s="1"/>
  <c r="H14"/>
  <c r="G14"/>
  <c r="P14" l="1"/>
  <c r="Q11"/>
  <c r="Q14" s="1"/>
  <c r="R11"/>
  <c r="O11"/>
  <c r="O14" s="1"/>
  <c r="I14"/>
  <c r="F7" l="1"/>
  <c r="I6"/>
  <c r="R14"/>
  <c r="S11"/>
  <c r="S14" s="1"/>
  <c r="H7"/>
  <c r="I5"/>
  <c r="I7" s="1"/>
  <c r="Y447" i="5"/>
  <c r="Y446"/>
  <c r="Y445"/>
  <c r="Y444"/>
  <c r="Y443"/>
  <c r="Y442"/>
  <c r="Y441"/>
  <c r="Y440"/>
  <c r="Y439"/>
  <c r="Y438"/>
  <c r="Y437"/>
  <c r="Y436"/>
  <c r="Y435"/>
  <c r="Y434"/>
  <c r="Y433"/>
  <c r="Y432"/>
  <c r="Y431"/>
  <c r="Y430"/>
  <c r="Y429"/>
  <c r="Y428"/>
  <c r="Y427"/>
  <c r="Y426"/>
  <c r="Y425"/>
  <c r="Y424"/>
  <c r="Y423"/>
  <c r="Y422"/>
  <c r="Y421"/>
  <c r="Y420"/>
  <c r="Y419"/>
  <c r="Y418"/>
  <c r="Y417"/>
  <c r="Y416"/>
  <c r="Y415"/>
  <c r="Y414"/>
  <c r="Y413"/>
  <c r="Y412"/>
  <c r="Y411"/>
  <c r="Y410"/>
  <c r="Y409"/>
  <c r="Y408"/>
  <c r="Y407"/>
  <c r="Y406"/>
  <c r="Y405"/>
  <c r="Y404"/>
  <c r="Y403"/>
  <c r="Y402"/>
  <c r="Y401"/>
  <c r="Y400"/>
  <c r="Y399"/>
  <c r="Y398"/>
  <c r="Y397"/>
  <c r="Y396"/>
  <c r="Y395"/>
  <c r="Y394"/>
  <c r="Y393"/>
  <c r="Y392"/>
  <c r="Y391"/>
  <c r="Y390"/>
  <c r="Y389"/>
  <c r="Y388"/>
  <c r="Y387"/>
  <c r="Y386"/>
  <c r="Y385"/>
  <c r="Y384"/>
  <c r="Y383"/>
  <c r="Y382"/>
  <c r="Y381"/>
  <c r="Y380"/>
  <c r="Y379"/>
  <c r="Y378"/>
  <c r="Y377"/>
  <c r="Y376"/>
  <c r="Y375"/>
  <c r="Y374"/>
  <c r="Y373"/>
  <c r="Y372"/>
  <c r="Y371"/>
  <c r="Y370"/>
  <c r="Y369"/>
  <c r="Y368"/>
  <c r="Y367"/>
  <c r="Y366"/>
  <c r="Y365"/>
  <c r="Y364"/>
  <c r="Y363"/>
  <c r="Y362"/>
  <c r="Y361"/>
  <c r="Y360"/>
  <c r="Y359"/>
  <c r="Y358"/>
  <c r="Y357"/>
  <c r="Y356"/>
  <c r="Y355"/>
  <c r="Y354"/>
  <c r="Y353"/>
  <c r="Y352"/>
  <c r="Y351"/>
  <c r="Y350"/>
  <c r="Y349"/>
  <c r="Y348"/>
  <c r="Y347"/>
  <c r="Y346"/>
  <c r="Y345"/>
  <c r="Y344"/>
  <c r="Y343"/>
  <c r="Y342"/>
  <c r="Y341"/>
  <c r="Y340"/>
  <c r="Y339"/>
  <c r="Y338"/>
  <c r="Y337"/>
  <c r="Y336"/>
  <c r="Y335"/>
  <c r="Y334"/>
  <c r="Y333"/>
  <c r="Y332"/>
  <c r="Y331"/>
  <c r="Y330"/>
  <c r="Y329"/>
  <c r="Y328"/>
  <c r="Y327"/>
  <c r="Y326"/>
  <c r="Y325"/>
  <c r="Y324"/>
  <c r="Y323"/>
  <c r="Y322"/>
  <c r="Y321"/>
  <c r="Y320"/>
  <c r="Y319"/>
  <c r="Y318"/>
  <c r="Y317"/>
  <c r="Y316"/>
  <c r="Y315"/>
  <c r="Y314"/>
  <c r="Y313"/>
  <c r="Y312"/>
  <c r="Y311"/>
  <c r="Y310"/>
  <c r="Y309"/>
  <c r="Y308"/>
  <c r="Y307"/>
  <c r="Y306"/>
  <c r="Y305"/>
  <c r="Y304"/>
  <c r="Y303"/>
  <c r="Y302"/>
  <c r="Y301"/>
  <c r="Y300"/>
  <c r="Y299"/>
  <c r="Y298"/>
  <c r="Y297"/>
  <c r="Y296"/>
  <c r="Y295"/>
  <c r="Y294"/>
  <c r="Y293"/>
  <c r="Y292"/>
  <c r="Y291"/>
  <c r="Y290"/>
  <c r="Y289"/>
  <c r="Y288"/>
  <c r="Y287"/>
  <c r="Y286"/>
  <c r="Y285"/>
  <c r="Y284"/>
  <c r="Y283"/>
  <c r="Y282"/>
  <c r="Y281"/>
  <c r="Y280"/>
  <c r="Y279"/>
  <c r="Y278"/>
  <c r="Y277"/>
  <c r="Y276"/>
  <c r="Y275"/>
  <c r="Y274"/>
  <c r="Y273"/>
  <c r="Y272"/>
  <c r="Y271"/>
  <c r="Y270"/>
  <c r="Y269"/>
  <c r="Y268"/>
  <c r="Y267"/>
  <c r="Y266"/>
  <c r="Y265"/>
  <c r="Y264"/>
  <c r="Y263"/>
  <c r="Y262"/>
  <c r="Y261"/>
  <c r="Y260"/>
  <c r="Y259"/>
  <c r="Y258"/>
  <c r="Y257"/>
  <c r="Y256"/>
  <c r="Y255"/>
  <c r="Y254"/>
  <c r="Y253"/>
  <c r="Y252"/>
  <c r="Y251"/>
  <c r="Y250"/>
  <c r="Y249"/>
  <c r="Y248"/>
  <c r="Y247"/>
  <c r="Y246"/>
  <c r="Y245"/>
  <c r="Y244"/>
  <c r="Y243"/>
  <c r="Y242"/>
  <c r="Y241"/>
  <c r="Y240"/>
  <c r="Y239"/>
  <c r="Y238"/>
  <c r="Y237"/>
  <c r="Y236"/>
  <c r="Y235"/>
  <c r="Y234"/>
  <c r="Y233"/>
  <c r="Y232"/>
  <c r="Y231"/>
  <c r="Y230"/>
  <c r="Y229"/>
  <c r="Y228"/>
  <c r="Y227"/>
  <c r="Y226"/>
  <c r="Y225"/>
  <c r="Y224"/>
  <c r="Y223"/>
  <c r="Y222"/>
  <c r="Y221"/>
  <c r="Y220"/>
  <c r="Y219"/>
  <c r="Y218"/>
  <c r="Y217"/>
  <c r="Y216"/>
  <c r="Y215"/>
  <c r="Y214"/>
  <c r="Y213"/>
  <c r="Y212"/>
  <c r="Y211"/>
  <c r="Y210"/>
  <c r="Y209"/>
  <c r="Y208"/>
  <c r="Y207"/>
  <c r="Y206"/>
  <c r="Y205"/>
  <c r="Y204"/>
  <c r="Y203"/>
  <c r="Y202"/>
  <c r="Y201"/>
  <c r="Y200"/>
  <c r="Y199"/>
  <c r="Y198"/>
  <c r="Y197"/>
  <c r="Y196"/>
  <c r="Y195"/>
  <c r="Y194"/>
  <c r="Y193"/>
  <c r="Y192"/>
  <c r="Y191"/>
  <c r="Y190"/>
  <c r="Y189"/>
  <c r="Y188"/>
  <c r="Y187"/>
  <c r="Y186"/>
  <c r="Y185"/>
  <c r="Y184"/>
  <c r="Y183"/>
  <c r="Y182"/>
  <c r="Y181"/>
  <c r="Y180"/>
  <c r="Y179"/>
  <c r="Y178"/>
  <c r="Y177"/>
  <c r="Y176"/>
  <c r="Y175"/>
  <c r="Y174"/>
  <c r="Y173"/>
  <c r="Y172"/>
  <c r="Y171"/>
  <c r="Y170"/>
  <c r="Y169"/>
  <c r="Y168"/>
  <c r="Y167"/>
  <c r="Y166"/>
  <c r="Y165"/>
  <c r="Y164"/>
  <c r="Y163"/>
  <c r="Y162"/>
  <c r="Y161"/>
  <c r="Y160"/>
  <c r="Y159"/>
  <c r="Y158"/>
  <c r="Y157"/>
  <c r="Y156"/>
  <c r="Y155"/>
  <c r="Y154"/>
  <c r="Y153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<sst xmlns="http://schemas.openxmlformats.org/spreadsheetml/2006/main" count="6636" uniqueCount="1022">
  <si>
    <t xml:space="preserve"> LC Purchase- Usuance Interest Calculation for the month of Apr'26</t>
  </si>
  <si>
    <t>Amount in INR</t>
  </si>
  <si>
    <t xml:space="preserve"> Party Name </t>
  </si>
  <si>
    <t>Bank Name</t>
  </si>
  <si>
    <t xml:space="preserve"> Agreed Usuance ROI %</t>
  </si>
  <si>
    <t xml:space="preserve"> Total BOE Value</t>
  </si>
  <si>
    <t xml:space="preserve"> Total Interest Charged
by Bank </t>
  </si>
  <si>
    <t xml:space="preserve"> Total Charges
 (As per Auditor) </t>
  </si>
  <si>
    <t xml:space="preserve">  Excess/(Short)
(Incl. Penal Charge if any)  </t>
  </si>
  <si>
    <t xml:space="preserve"> Management's Remarks </t>
  </si>
  <si>
    <t xml:space="preserve"> Auditor's Remarks </t>
  </si>
  <si>
    <t>TATA STEEL LIMITED</t>
  </si>
  <si>
    <t>JINDAL STEEL ODISHA LIMITED</t>
  </si>
  <si>
    <t>UCO Bank</t>
  </si>
  <si>
    <t> </t>
  </si>
  <si>
    <t>ICICI Bank</t>
  </si>
  <si>
    <t xml:space="preserve"> Total </t>
  </si>
  <si>
    <t>As per BOE</t>
  </si>
  <si>
    <t>As per Auditor's calculation</t>
  </si>
  <si>
    <t>ROI Calculation</t>
  </si>
  <si>
    <t>SAP</t>
  </si>
  <si>
    <t>Difference</t>
  </si>
  <si>
    <t>Vendor BOE No.</t>
  </si>
  <si>
    <t>Vendor Name</t>
  </si>
  <si>
    <t xml:space="preserve"> BOE Date </t>
  </si>
  <si>
    <t>Invoice Amount / Material Basic (including GST)</t>
  </si>
  <si>
    <t xml:space="preserve"> Material Basic (excluding GST)</t>
  </si>
  <si>
    <t xml:space="preserve"> GST on Material Basic </t>
  </si>
  <si>
    <t xml:space="preserve"> Interest Amount (Excl. GST) </t>
  </si>
  <si>
    <t xml:space="preserve"> GST on Interest. </t>
  </si>
  <si>
    <t xml:space="preserve"> TDS u-s 194A </t>
  </si>
  <si>
    <t>Total Interest 
(Inc GST)</t>
  </si>
  <si>
    <t xml:space="preserve"> TDS u-s 194Q </t>
  </si>
  <si>
    <t xml:space="preserve"> Total BOE Amount </t>
  </si>
  <si>
    <t>Int Rate Charged by Bank</t>
  </si>
  <si>
    <t>Agreed Rate</t>
  </si>
  <si>
    <t>Interest as per SAP</t>
  </si>
  <si>
    <t>BOE Vs SAP</t>
  </si>
  <si>
    <t>BOE Vs Auditor Calculation</t>
  </si>
  <si>
    <t>Auditor Remarks</t>
  </si>
  <si>
    <t>2027/01</t>
  </si>
  <si>
    <t>18.03.2026</t>
  </si>
  <si>
    <t>OK</t>
  </si>
  <si>
    <t>01.04.2026</t>
  </si>
  <si>
    <t>TOTAL</t>
  </si>
  <si>
    <t>Particulars</t>
  </si>
  <si>
    <t>Bill Discounted</t>
  </si>
  <si>
    <t>Total Interest Expenses
( As per Bank Advice)</t>
  </si>
  <si>
    <t>Total Interest Expenses
( As per Auditor)</t>
  </si>
  <si>
    <t>Excess/(Short)</t>
  </si>
  <si>
    <t>Export Bill Discounted</t>
  </si>
  <si>
    <t>HDFC</t>
  </si>
  <si>
    <t>Domestic Bill Discounted</t>
  </si>
  <si>
    <t>Kotak</t>
  </si>
  <si>
    <t>Interest Credited</t>
  </si>
  <si>
    <t xml:space="preserve"> Penal Interest
 </t>
  </si>
  <si>
    <t>As per Bank</t>
  </si>
  <si>
    <t>As per Auditor</t>
  </si>
  <si>
    <t>Sales Type</t>
  </si>
  <si>
    <t xml:space="preserve">Bank </t>
  </si>
  <si>
    <t>Customer Name</t>
  </si>
  <si>
    <t>Discounting Date</t>
  </si>
  <si>
    <t>Reference No</t>
  </si>
  <si>
    <t>Invoice No.</t>
  </si>
  <si>
    <t>Start Date</t>
  </si>
  <si>
    <t>End Date</t>
  </si>
  <si>
    <t>No. of days</t>
  </si>
  <si>
    <t>Bill Discounted Value (Euro)</t>
  </si>
  <si>
    <t>Currency</t>
  </si>
  <si>
    <t>Exchange Rate</t>
  </si>
  <si>
    <t>Bill Discounted Value (INR)</t>
  </si>
  <si>
    <t>Discounting Interest</t>
  </si>
  <si>
    <t>Bill Comm</t>
  </si>
  <si>
    <t>Courier Postage</t>
  </si>
  <si>
    <t>FX Conversion</t>
  </si>
  <si>
    <t>Handling Charges</t>
  </si>
  <si>
    <t>GST</t>
  </si>
  <si>
    <t>Total Chgs as per Bank</t>
  </si>
  <si>
    <t>Total Chgs as per Bank (Excl GST)</t>
  </si>
  <si>
    <t>Total Charges Booked in SAP (Excl GST)</t>
  </si>
  <si>
    <t>Difference 
(S-T)</t>
  </si>
  <si>
    <t>ROI% 
(As per LC Advice)</t>
  </si>
  <si>
    <t>Penal Interest %</t>
  </si>
  <si>
    <t>Interest Calculated (INR)</t>
  </si>
  <si>
    <t>Commission Calculated</t>
  </si>
  <si>
    <t>Total Charges Calculated</t>
  </si>
  <si>
    <t>Excess(Shortfall)
(S-Z)</t>
  </si>
  <si>
    <t>Interest Remarks</t>
  </si>
  <si>
    <t>Management Remarks</t>
  </si>
  <si>
    <t>Auditors' Remarks</t>
  </si>
  <si>
    <t>Export</t>
  </si>
  <si>
    <t>PAGOUNI SA</t>
  </si>
  <si>
    <t>06-APR-2026</t>
  </si>
  <si>
    <t>469BC89260860007</t>
  </si>
  <si>
    <t>5400514061</t>
  </si>
  <si>
    <t>17-JUL-2026</t>
  </si>
  <si>
    <t>EUR</t>
  </si>
  <si>
    <t>KAMARIDAS GLOBAL WIRE ABEE</t>
  </si>
  <si>
    <t>02-APR-2026</t>
  </si>
  <si>
    <t>469BC89260890006</t>
  </si>
  <si>
    <t>5400514062</t>
  </si>
  <si>
    <t>23-JUN-2026</t>
  </si>
  <si>
    <t>LATTONEDIL S P A MILANO</t>
  </si>
  <si>
    <t>13-APR-2026</t>
  </si>
  <si>
    <t>469BC89261030001</t>
  </si>
  <si>
    <t>5400514090</t>
  </si>
  <si>
    <t>05-JUN-2026</t>
  </si>
  <si>
    <t>469BC89261030003</t>
  </si>
  <si>
    <t>5400514093</t>
  </si>
  <si>
    <t>08-JUN-2026</t>
  </si>
  <si>
    <t>IDROCENTRO SPA</t>
  </si>
  <si>
    <t>16-APR-2026</t>
  </si>
  <si>
    <t>469BC89261030011</t>
  </si>
  <si>
    <t>5400514072</t>
  </si>
  <si>
    <t>18-JUN-2026</t>
  </si>
  <si>
    <t>469BC89261030007</t>
  </si>
  <si>
    <t>5400514083</t>
  </si>
  <si>
    <t>04-JUN-2026</t>
  </si>
  <si>
    <t>469BC89261030010</t>
  </si>
  <si>
    <t>5400154078</t>
  </si>
  <si>
    <t>22-JUN-2026</t>
  </si>
  <si>
    <t>LATTONEDIL ROMANIA SRL</t>
  </si>
  <si>
    <t>469BC89261060001</t>
  </si>
  <si>
    <t>5400514079</t>
  </si>
  <si>
    <t>01-JUN-2026</t>
  </si>
  <si>
    <t>ISOLPACK S P A</t>
  </si>
  <si>
    <t>469BC89261060002</t>
  </si>
  <si>
    <t>5400514081</t>
  </si>
  <si>
    <t>03-JUL-2026</t>
  </si>
  <si>
    <t>ISOLPACK SPA SIGLABILE CERIA ISOLPA</t>
  </si>
  <si>
    <t>469BC89261060003</t>
  </si>
  <si>
    <t>5400514086</t>
  </si>
  <si>
    <t>BRAVO INTERNATIONAL RO SRL</t>
  </si>
  <si>
    <t>20-APR-2026</t>
  </si>
  <si>
    <t>469BC89261100007</t>
  </si>
  <si>
    <t>5400514068</t>
  </si>
  <si>
    <t>01-JUL-2026</t>
  </si>
  <si>
    <t>TOPANEL PRODUCTION PANELS SA</t>
  </si>
  <si>
    <t>469BC89261100005</t>
  </si>
  <si>
    <t>5400514104</t>
  </si>
  <si>
    <t>07-JUL-2026</t>
  </si>
  <si>
    <t>469BC89261100004</t>
  </si>
  <si>
    <t>5400514067</t>
  </si>
  <si>
    <t>469BC89261100002</t>
  </si>
  <si>
    <t>5400514065</t>
  </si>
  <si>
    <t>21-APR-2026</t>
  </si>
  <si>
    <t>469BC89261110006</t>
  </si>
  <si>
    <t>5400514098</t>
  </si>
  <si>
    <t>469BC89261110008</t>
  </si>
  <si>
    <t>5400514066</t>
  </si>
  <si>
    <t>31-JUL-2026</t>
  </si>
  <si>
    <t>SC TERASTEEL SA</t>
  </si>
  <si>
    <t>469BC89261110009</t>
  </si>
  <si>
    <t>5400514096</t>
  </si>
  <si>
    <t>INGROS COPERTURE S R L</t>
  </si>
  <si>
    <t>23-APR-2026</t>
  </si>
  <si>
    <t>469BC89261130001</t>
  </si>
  <si>
    <t>5400514092</t>
  </si>
  <si>
    <t>24-APR-2026</t>
  </si>
  <si>
    <t>20-JUL-2026</t>
  </si>
  <si>
    <t>469BC89261130003</t>
  </si>
  <si>
    <t>5400514121</t>
  </si>
  <si>
    <t>28-APR-2026</t>
  </si>
  <si>
    <t>16-JUL-2026</t>
  </si>
  <si>
    <t>469BC89261140003</t>
  </si>
  <si>
    <t>5400514087</t>
  </si>
  <si>
    <t>ITALPANNELLI IBERICA SA</t>
  </si>
  <si>
    <t>469BC89261140007</t>
  </si>
  <si>
    <t>5400514113</t>
  </si>
  <si>
    <t>KAMARIDIS GLOBAL WIRE ABEE</t>
  </si>
  <si>
    <t>469BC89261140008</t>
  </si>
  <si>
    <t>5400514094</t>
  </si>
  <si>
    <t>469BC89261140009</t>
  </si>
  <si>
    <t>5400514116</t>
  </si>
  <si>
    <t>19-JUN-2026</t>
  </si>
  <si>
    <t>27-APR-2026</t>
  </si>
  <si>
    <t>469BC89261170007</t>
  </si>
  <si>
    <t>5400514119</t>
  </si>
  <si>
    <t>469BC89261140010</t>
  </si>
  <si>
    <t>5400514118</t>
  </si>
  <si>
    <t>469BC89261180001</t>
  </si>
  <si>
    <t>5400514075</t>
  </si>
  <si>
    <t>30-APR-2026</t>
  </si>
  <si>
    <t>469BC89261200004</t>
  </si>
  <si>
    <t>5400514115</t>
  </si>
  <si>
    <t>469BC89261070001</t>
  </si>
  <si>
    <t>469BC89261070002</t>
  </si>
  <si>
    <t>469BC89261100003</t>
  </si>
  <si>
    <t>469BC89261100006</t>
  </si>
  <si>
    <t>Domestic</t>
  </si>
  <si>
    <t>KOTAK</t>
  </si>
  <si>
    <t>ISOLLOYD ENGINEERING TECHNO</t>
  </si>
  <si>
    <t>0822BDO266053335</t>
  </si>
  <si>
    <t>INR</t>
  </si>
  <si>
    <t>0822BDO266053336</t>
  </si>
  <si>
    <t>Sum of Net Amount</t>
  </si>
  <si>
    <t>Sales</t>
  </si>
  <si>
    <t>Sales amount</t>
  </si>
  <si>
    <t>Charges</t>
  </si>
  <si>
    <t>Amount</t>
  </si>
  <si>
    <t>Retirement</t>
  </si>
  <si>
    <t>014LCEX253590021</t>
  </si>
  <si>
    <t>014LCEX260910002</t>
  </si>
  <si>
    <t>014LCEX260920001</t>
  </si>
  <si>
    <t>014LCEX260920018</t>
  </si>
  <si>
    <t>014LCEX261010002</t>
  </si>
  <si>
    <t>014LCEX261130002</t>
  </si>
  <si>
    <t>014LCEX261180044</t>
  </si>
  <si>
    <t>469BC04260090001</t>
  </si>
  <si>
    <t>469BC04260090002</t>
  </si>
  <si>
    <t>469BC04260150002</t>
  </si>
  <si>
    <t>469BC04260150003</t>
  </si>
  <si>
    <t>469BC04260150005</t>
  </si>
  <si>
    <t>469BC04260150007</t>
  </si>
  <si>
    <t>469BC04260150009</t>
  </si>
  <si>
    <t>469BC04260150011</t>
  </si>
  <si>
    <t>469BC04260150013</t>
  </si>
  <si>
    <t>469BC04260170003</t>
  </si>
  <si>
    <t>469BC04260190010</t>
  </si>
  <si>
    <t>469BC04260200003</t>
  </si>
  <si>
    <t>469BC04260200005</t>
  </si>
  <si>
    <t>469BC04260210002</t>
  </si>
  <si>
    <t>469BC04260210003</t>
  </si>
  <si>
    <t>469BC04260210004</t>
  </si>
  <si>
    <t>469BC04260270002</t>
  </si>
  <si>
    <t>469BC04260270003</t>
  </si>
  <si>
    <t>469BC04260280002</t>
  </si>
  <si>
    <t>469BC04260280003</t>
  </si>
  <si>
    <t>469BC04260280004</t>
  </si>
  <si>
    <t>469BC04260290006</t>
  </si>
  <si>
    <t>469BC04260300009</t>
  </si>
  <si>
    <t>469BC04260330001</t>
  </si>
  <si>
    <t>469BC04260350004</t>
  </si>
  <si>
    <t>469BC63260990002</t>
  </si>
  <si>
    <t>469BC63260990003</t>
  </si>
  <si>
    <t>469BC73260920020</t>
  </si>
  <si>
    <t>469BC73260940004</t>
  </si>
  <si>
    <t>469BC73260970007</t>
  </si>
  <si>
    <t>469BC73260990003</t>
  </si>
  <si>
    <t>469BC89253390001</t>
  </si>
  <si>
    <t>469BC89253390002</t>
  </si>
  <si>
    <t>469BC89253430003</t>
  </si>
  <si>
    <t>469BC89253430007</t>
  </si>
  <si>
    <t>469BC89253450002</t>
  </si>
  <si>
    <t>469BC89253460001</t>
  </si>
  <si>
    <t>469BC89253540002</t>
  </si>
  <si>
    <t>469BC89253560001</t>
  </si>
  <si>
    <t>469BC89260090006</t>
  </si>
  <si>
    <t>469BC89260190002</t>
  </si>
  <si>
    <t>469BC89260220005</t>
  </si>
  <si>
    <t>469BC89260280004</t>
  </si>
  <si>
    <t>469BC89260290005</t>
  </si>
  <si>
    <t>469BC89260350001</t>
  </si>
  <si>
    <t>469BC89260360013</t>
  </si>
  <si>
    <t>469BC89260470003</t>
  </si>
  <si>
    <t>469BC89260470004</t>
  </si>
  <si>
    <t>469BC89260500003</t>
  </si>
  <si>
    <t>469BC89260510001</t>
  </si>
  <si>
    <t>469BC89260560004</t>
  </si>
  <si>
    <t>469BC89260630001</t>
  </si>
  <si>
    <t>469BC89260650002</t>
  </si>
  <si>
    <t>469BC89260650003</t>
  </si>
  <si>
    <t>469LC03261070002</t>
  </si>
  <si>
    <t>Grand Total</t>
  </si>
  <si>
    <t>Description</t>
  </si>
  <si>
    <t>C.D.Falg</t>
  </si>
  <si>
    <t>Value Date</t>
  </si>
  <si>
    <t>Branch Name</t>
  </si>
  <si>
    <t>Net Amount</t>
  </si>
  <si>
    <t>LC Bank Description.1</t>
  </si>
  <si>
    <t>Type</t>
  </si>
  <si>
    <t>Month</t>
  </si>
  <si>
    <t>CORRESPONDENT BANK CHARGES</t>
  </si>
  <si>
    <t>D</t>
  </si>
  <si>
    <t>BHOWANIPORE</t>
  </si>
  <si>
    <t>GST ON COMMISSION AND CHARGE</t>
  </si>
  <si>
    <t>LC ADVISING COMMISSION</t>
  </si>
  <si>
    <t>CENTRALPLAZA-KOLKATA</t>
  </si>
  <si>
    <t>Issuance</t>
  </si>
  <si>
    <t>COMM ON EXPORT COLL BILL</t>
  </si>
  <si>
    <t>LIQUIDATION OF LOCAL BILL UNDER LC</t>
  </si>
  <si>
    <t>BILLS DISCOUNTED</t>
  </si>
  <si>
    <t>C</t>
  </si>
  <si>
    <t>COMM ON EXPORT LC AMENDMENT ADVISED</t>
  </si>
  <si>
    <t>Amendment</t>
  </si>
  <si>
    <t>INTEREST ON LOCAL BILL DISCOUNTING</t>
  </si>
  <si>
    <t/>
  </si>
  <si>
    <t>COURIER CHARGES ON EXPORT BILLS</t>
  </si>
  <si>
    <t>13/04/2026</t>
  </si>
  <si>
    <t>INTEREST ON EXPORT BILL PURCHASE</t>
  </si>
  <si>
    <t>14/04/2026</t>
  </si>
  <si>
    <t>15/04/2026</t>
  </si>
  <si>
    <t>16/04/2026</t>
  </si>
  <si>
    <t>17/04/2026</t>
  </si>
  <si>
    <t>COMM ON LOCAL LC ISSUED</t>
  </si>
  <si>
    <t>18/04/2026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</si>
  <si>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</si>
  <si>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</si>
  <si>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</si>
  <si>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</si>
  <si>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</si>
  <si>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</si>
  <si>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</si>
  <si>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</si>
  <si>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</si>
  <si>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LC Charges - Summary - Apr'26</t>
  </si>
  <si>
    <t>Bank</t>
  </si>
  <si>
    <t>Total LC Value</t>
  </si>
  <si>
    <t>Total Charges by Bank</t>
  </si>
  <si>
    <t>Total Charges
 Calculated</t>
  </si>
  <si>
    <t xml:space="preserve"> Excess/(Short)
(Incl. Penal Charge if any) </t>
  </si>
  <si>
    <t>Indian</t>
  </si>
  <si>
    <t>UBI</t>
  </si>
  <si>
    <t>LC No</t>
  </si>
  <si>
    <t>User Reference No</t>
  </si>
  <si>
    <t>Beneficiary</t>
  </si>
  <si>
    <t>LC Open Date</t>
  </si>
  <si>
    <t>LC Expiry Date</t>
  </si>
  <si>
    <t>LC Amendment Date</t>
  </si>
  <si>
    <t xml:space="preserve"> Validity </t>
  </si>
  <si>
    <t xml:space="preserve"> Usance </t>
  </si>
  <si>
    <t xml:space="preserve"> Total Days </t>
  </si>
  <si>
    <t>LC Amount</t>
  </si>
  <si>
    <t>LC Amount inc Tolerance</t>
  </si>
  <si>
    <t>LC Amount (INR)</t>
  </si>
  <si>
    <t>LC Issuance Charge</t>
  </si>
  <si>
    <t>LC Usance Charges</t>
  </si>
  <si>
    <t>Commitment Charges</t>
  </si>
  <si>
    <t>Amendment Charges</t>
  </si>
  <si>
    <t>LC Advising Commission</t>
  </si>
  <si>
    <t>SWIFT/SFMS Charges</t>
  </si>
  <si>
    <t xml:space="preserve">GST </t>
  </si>
  <si>
    <t>Total Charges</t>
  </si>
  <si>
    <t>Opening/Usuance Charge %</t>
  </si>
  <si>
    <t>Amendment Charge %</t>
  </si>
  <si>
    <t>Total chgs as per Bank(Excl GST)</t>
  </si>
  <si>
    <t>Total chgs as per SAP(Excl GST)</t>
  </si>
  <si>
    <t xml:space="preserve"> Issuance /Amendment chgs Calculated</t>
  </si>
  <si>
    <t>Commitment Chgs</t>
  </si>
  <si>
    <t>SWIFT /SFMS Charges</t>
  </si>
  <si>
    <t>Advising commission charges</t>
  </si>
  <si>
    <t>Total Charges Calculated (Excl GST)</t>
  </si>
  <si>
    <t>Excess (Shortfall)</t>
  </si>
  <si>
    <t>Management  Remarks</t>
  </si>
  <si>
    <t>I099891</t>
  </si>
  <si>
    <t>TOPANEL PRODUCTION PANELS S.A.</t>
  </si>
  <si>
    <t>04-APR-2026</t>
  </si>
  <si>
    <t>23-DEC-2025</t>
  </si>
  <si>
    <t>39010380011215</t>
  </si>
  <si>
    <t>PERFICHAPA S.A.</t>
  </si>
  <si>
    <t>01-APR-2026</t>
  </si>
  <si>
    <t>21-JUL-2026</t>
  </si>
  <si>
    <t>CDI26700237</t>
  </si>
  <si>
    <t>FERPAINEL S.A</t>
  </si>
  <si>
    <t>31-MAR-2026</t>
  </si>
  <si>
    <t>10905I0194085387</t>
  </si>
  <si>
    <t>METECNO ITALIA SRL</t>
  </si>
  <si>
    <t>10907I0194415387</t>
  </si>
  <si>
    <t>IDROCENTRO S.P.A.</t>
  </si>
  <si>
    <t>10-APR-2026</t>
  </si>
  <si>
    <t>CI35863100098037</t>
  </si>
  <si>
    <t>ITALPANNELLI IBERICA S.A.</t>
  </si>
  <si>
    <t>22-APR-2026</t>
  </si>
  <si>
    <t>10-SEP-2026</t>
  </si>
  <si>
    <t>10905I0201745387</t>
  </si>
  <si>
    <t>LATTONEDIL SPA MILANO</t>
  </si>
  <si>
    <t>29-APR-2026</t>
  </si>
  <si>
    <t>31-AUG-2026</t>
  </si>
  <si>
    <t>INDIAN</t>
  </si>
  <si>
    <t>0571026FBU000228</t>
  </si>
  <si>
    <t>BAOSTEEL SINGAPORE PTE LTD</t>
  </si>
  <si>
    <t>USD</t>
  </si>
  <si>
    <t>0571026FBU000229</t>
  </si>
  <si>
    <t>HONORS COMMODITY HONG KONG COMPANY</t>
  </si>
  <si>
    <t>0571026FBU000230</t>
  </si>
  <si>
    <t>0571026FLU000185</t>
  </si>
  <si>
    <t>68840M11F0258226-CLM002</t>
  </si>
  <si>
    <t>68840M11F0258226-CLM001</t>
  </si>
  <si>
    <t>68840M11F0351126</t>
  </si>
  <si>
    <t>68840M11F0351126 - AMD001</t>
  </si>
  <si>
    <t>68840M11F0351126 - AMD002</t>
  </si>
  <si>
    <t>Issuance Chgs</t>
  </si>
  <si>
    <t>Retirement Charges - Summary - Apr'26</t>
  </si>
  <si>
    <t xml:space="preserve">Bank Name </t>
  </si>
  <si>
    <t>BOE Amount</t>
  </si>
  <si>
    <t>LC Retirement Charges by Auditor (As per Sanction)</t>
  </si>
  <si>
    <t xml:space="preserve">Excess/(Shortfall) </t>
  </si>
  <si>
    <t>UCO</t>
  </si>
  <si>
    <t>Total</t>
  </si>
  <si>
    <t>Reference Number</t>
  </si>
  <si>
    <t>Invoice Number</t>
  </si>
  <si>
    <t>Date</t>
  </si>
  <si>
    <t xml:space="preserve"> Amt (INR)</t>
  </si>
  <si>
    <t>Correspondant Bank Charges</t>
  </si>
  <si>
    <t>Bill Commission</t>
  </si>
  <si>
    <t>Bill / Retirement Charges</t>
  </si>
  <si>
    <t>Interest on bill maturity extension</t>
  </si>
  <si>
    <t>Interest Received</t>
  </si>
  <si>
    <t>Reversal</t>
  </si>
  <si>
    <t>Penal Interest</t>
  </si>
  <si>
    <t>Postage/ Courier</t>
  </si>
  <si>
    <t>Swift Charges</t>
  </si>
  <si>
    <t>% of Correspondent charges Deduction</t>
  </si>
  <si>
    <t>Total chgs by  Bank (Excl GST)</t>
  </si>
  <si>
    <t>Total chgs Booked in SAP (Excl GST)</t>
  </si>
  <si>
    <t>Difference
(G-N)</t>
  </si>
  <si>
    <t>Commission / CBC Charges Calculated</t>
  </si>
  <si>
    <t xml:space="preserve"> Retirement Charges Calculated</t>
  </si>
  <si>
    <t>Excess/(short)
 (AE-AF)</t>
  </si>
  <si>
    <t>Penal Interest on LC</t>
  </si>
  <si>
    <t>HONORS COMMODITY HONG KONG</t>
  </si>
  <si>
    <t>469BC02253100001</t>
  </si>
  <si>
    <t>469BC02253100002</t>
  </si>
  <si>
    <t>RV8110055834</t>
  </si>
  <si>
    <t>RV8110055425</t>
  </si>
  <si>
    <t>RV8110056318/19</t>
  </si>
  <si>
    <t>RV8110056582</t>
  </si>
  <si>
    <t>07-APR-2026</t>
  </si>
  <si>
    <t>RV8110057520/21</t>
  </si>
  <si>
    <t>RV8110057587</t>
  </si>
  <si>
    <t>RV8110058007/8</t>
  </si>
  <si>
    <t>RV8110057476</t>
  </si>
  <si>
    <t>RV8110056963</t>
  </si>
  <si>
    <t>09-APR-2026</t>
  </si>
  <si>
    <t>RV8110058689</t>
  </si>
  <si>
    <t>RV8110058821</t>
  </si>
  <si>
    <t>RV8110059214</t>
  </si>
  <si>
    <t>RV8110059138</t>
  </si>
  <si>
    <t>RV8110060695</t>
  </si>
  <si>
    <t>RV8110060535</t>
  </si>
  <si>
    <t>RV8110061076</t>
  </si>
  <si>
    <t>RV8110061322</t>
  </si>
  <si>
    <t>RV8110062495</t>
  </si>
  <si>
    <t>RV8110062942</t>
  </si>
  <si>
    <t>BRAVO INTERNATIONAL CZ S R O</t>
  </si>
  <si>
    <t>5400513916</t>
  </si>
  <si>
    <t>5400513907</t>
  </si>
  <si>
    <t>5400513908</t>
  </si>
  <si>
    <t>5400513914</t>
  </si>
  <si>
    <t>5400513913</t>
  </si>
  <si>
    <t>TOPANEL PRODUCTION PANELS S.A</t>
  </si>
  <si>
    <t>5400513924</t>
  </si>
  <si>
    <t>5400513926</t>
  </si>
  <si>
    <t>14-APR-2026</t>
  </si>
  <si>
    <t>ITALPANNELLI IBERICA, S.A.</t>
  </si>
  <si>
    <t>5400513944</t>
  </si>
  <si>
    <t>KAMARIDIS GLOBAL WIRE S A</t>
  </si>
  <si>
    <t>5400513953</t>
  </si>
  <si>
    <t>15-APR-2026</t>
  </si>
  <si>
    <t>5400513963</t>
  </si>
  <si>
    <t>5400513904</t>
  </si>
  <si>
    <t>5400513977</t>
  </si>
  <si>
    <t>469BC89260370003</t>
  </si>
  <si>
    <t>5400513966</t>
  </si>
  <si>
    <t>5400514002</t>
  </si>
  <si>
    <t>5400513983</t>
  </si>
  <si>
    <t>5400513998</t>
  </si>
  <si>
    <t>5400514025</t>
  </si>
  <si>
    <t>5400514013</t>
  </si>
  <si>
    <t>PAUL COM SRL</t>
  </si>
  <si>
    <t>5400513749</t>
  </si>
  <si>
    <t>STEEL HUB LLC</t>
  </si>
  <si>
    <t>5400513932</t>
  </si>
  <si>
    <t>MTC CONSTRUCT SRL</t>
  </si>
  <si>
    <t>5400513991</t>
  </si>
  <si>
    <t>OLIMP-IMPEX SRL</t>
  </si>
  <si>
    <t>5400513975</t>
  </si>
  <si>
    <t>1/LPL DI GIOVANNI CURCELLI FIGLIO</t>
  </si>
  <si>
    <t>MCEX12782122</t>
  </si>
  <si>
    <t>NODEN INTERNATIONAL LIMITED</t>
  </si>
  <si>
    <t>5400513748</t>
  </si>
  <si>
    <t>5400513958</t>
  </si>
  <si>
    <t>Advice not Available</t>
  </si>
  <si>
    <t>RV8110056659</t>
  </si>
  <si>
    <t>RV8110059428</t>
  </si>
  <si>
    <t>RV8110059713</t>
  </si>
  <si>
    <t>RV8110060329</t>
  </si>
  <si>
    <t>0571025FBU000186</t>
  </si>
  <si>
    <t>02-04-2026</t>
  </si>
  <si>
    <t>ILD261062308C001</t>
  </si>
  <si>
    <t>JDM/13870</t>
  </si>
  <si>
    <t>27-Apr-2026</t>
  </si>
  <si>
    <t>ILD261062308C002</t>
  </si>
  <si>
    <t>RV8110062145</t>
  </si>
  <si>
    <t>ILD261062308C003</t>
  </si>
  <si>
    <t>RV8110061608</t>
  </si>
  <si>
    <t>0552AIR261537713</t>
  </si>
  <si>
    <t>DLX2604009</t>
  </si>
  <si>
    <t>0552AIR261530633</t>
  </si>
  <si>
    <t>LY2604003</t>
  </si>
  <si>
    <t>68840M11F0878425</t>
  </si>
  <si>
    <t>68840M11F0258226 - COR006</t>
  </si>
  <si>
    <t>68840M11F0258226 - COR010</t>
  </si>
  <si>
    <t>MANAKSIA COATED METALS AND</t>
  </si>
  <si>
    <t>68840M11F087842P</t>
  </si>
  <si>
    <t>0002ILCIS0024725</t>
  </si>
  <si>
    <t>0002ILCIS0025125</t>
  </si>
  <si>
    <t>0002ILCIS0025225</t>
  </si>
  <si>
    <t>0002ILCIS0026625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</si>
  <si>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</si>
  <si>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</si>
  <si>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</si>
  <si>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</si>
  <si>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</si>
  <si>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</si>
  <si>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</si>
  <si>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</si>
  <si>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</si>
  <si>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</si>
  <si>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</si>
  <si>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Reference</t>
  </si>
  <si>
    <t>Profit Center</t>
  </si>
  <si>
    <t>Segment</t>
  </si>
  <si>
    <t>Category</t>
  </si>
  <si>
    <t>Text</t>
  </si>
  <si>
    <t>BOE No.</t>
  </si>
  <si>
    <t>Offsett.account type</t>
  </si>
  <si>
    <t>Offsetting acct no.</t>
  </si>
  <si>
    <t>Year/month</t>
  </si>
  <si>
    <t>Account</t>
  </si>
  <si>
    <t>V LOOKUP</t>
  </si>
  <si>
    <t>KUTC</t>
  </si>
  <si>
    <t>SA</t>
  </si>
  <si>
    <t>Retirement Chgs</t>
  </si>
  <si>
    <t>DISCREPANCY CHARGES AGST INV- 5400513924 TOPANEL</t>
  </si>
  <si>
    <t>DISCREPANCY CHARGES AGST INV- 5400513914 BRAVO INT</t>
  </si>
  <si>
    <t>DISCREPANCY CHARGES AGST INV- 5400513913 BRAVO INT</t>
  </si>
  <si>
    <t>DISCREPANCY CHARGES AGST INV- 5400513916 BRAVO INT</t>
  </si>
  <si>
    <t>DISCREPANCY CHARGES AGST INV- 5400513907 BRAVO INT</t>
  </si>
  <si>
    <t>DISCREPANCY CHARGES AGST INV- 5400513908 BRAVO INT</t>
  </si>
  <si>
    <t>16-04-2026</t>
  </si>
  <si>
    <t>DISCREPANCY CHARGES AGST INV- 5400513926 TOPANEL</t>
  </si>
  <si>
    <t>DISCREPANCY CHG AGST INV- 5400513904 BRAVO INT</t>
  </si>
  <si>
    <t>FUNDING CHG</t>
  </si>
  <si>
    <t>BEHC</t>
  </si>
  <si>
    <t>KR</t>
  </si>
  <si>
    <t>LC Chgs</t>
  </si>
  <si>
    <t>BILL COMM AGST INV- 5400513991 MTC CONSTRUCT</t>
  </si>
  <si>
    <t>RTGS CHG</t>
  </si>
  <si>
    <t>Others</t>
  </si>
  <si>
    <t>NEFT CHG</t>
  </si>
  <si>
    <t>NEFT CHARGES</t>
  </si>
  <si>
    <t>SWIFT CHARGES</t>
  </si>
  <si>
    <t>BAL CERT CHG</t>
  </si>
  <si>
    <t>BALANCE CERT CHG</t>
  </si>
  <si>
    <t>RFU2603311353359</t>
  </si>
  <si>
    <t>ACH D- RFU2603311353359-DRBUY5632794</t>
  </si>
  <si>
    <t>RFU2603311353360</t>
  </si>
  <si>
    <t>ACH D- RFU2603311353360-DRBUY5632790</t>
  </si>
  <si>
    <t>RFU2603311353361</t>
  </si>
  <si>
    <t>ACH D- RFU2603311353361-DRBUY5632705</t>
  </si>
  <si>
    <t>RFU2603311353362</t>
  </si>
  <si>
    <t>ACH D- RFU2603311353362-DRBUY5632745</t>
  </si>
  <si>
    <t>RFU2603311353363</t>
  </si>
  <si>
    <t>ACH D- RFU2603311353363-DRBUY5633246</t>
  </si>
  <si>
    <t>RFU2603311353364</t>
  </si>
  <si>
    <t>ACH D- RFU2603311353364-DRBUY5633350</t>
  </si>
  <si>
    <t>RFU2604041357265</t>
  </si>
  <si>
    <t>ACH D- RFU2604041357265-DRBUY5684822</t>
  </si>
  <si>
    <t>RFU2604041357266</t>
  </si>
  <si>
    <t>ACH D- RFU2604041357266-DRBUY5684407</t>
  </si>
  <si>
    <t>KA</t>
  </si>
  <si>
    <t>Booking Charges for 24611381</t>
  </si>
  <si>
    <t>Stamping Charges for 24611381</t>
  </si>
  <si>
    <t>Booking Charges for 24611382</t>
  </si>
  <si>
    <t>Stamping Charges for 24611382</t>
  </si>
  <si>
    <t>IDIBN52026040636</t>
  </si>
  <si>
    <t>DOCUMENTATION CHARGES</t>
  </si>
  <si>
    <t>BILL COMM AGST INV- 5400513975 OLIMP IMPEX</t>
  </si>
  <si>
    <t>HYDO</t>
  </si>
  <si>
    <t>BILL COMM AGST INV- MCEX12782122 1/LPL</t>
  </si>
  <si>
    <t>RFU2604041357631</t>
  </si>
  <si>
    <t>ACH D- RFU2604041357631-DRBUY5739314</t>
  </si>
  <si>
    <t>469FT01260970018</t>
  </si>
  <si>
    <t>COMMISSION ON FOREX PAYMENT OF NEOMAR</t>
  </si>
  <si>
    <t>DISCREPANCY CHG AGST DISC CRED INV- 5400513983 LAT</t>
  </si>
  <si>
    <t>DISCREPANCY CHG AGST DISC INV- 5400513947 PAGOUNI</t>
  </si>
  <si>
    <t>RFU2604071364125</t>
  </si>
  <si>
    <t>ACH D- RFU2604071364125-DRBUY5769384</t>
  </si>
  <si>
    <t>RFU2604071364126</t>
  </si>
  <si>
    <t>ACH D- RFU2604071364126-DRBUY5769377</t>
  </si>
  <si>
    <t>RFU2604071364127</t>
  </si>
  <si>
    <t>ACH D- RFU2604071364127-DRBUY5773079</t>
  </si>
  <si>
    <t>BANK CHARGES</t>
  </si>
  <si>
    <t>BILL COMM AGST INV- 5400513748 NODEN</t>
  </si>
  <si>
    <t>BILL COMM AGST INV- 5400513749 PAUL COM</t>
  </si>
  <si>
    <t>BILL COMM AGST INV- 5400513932 STEEL HUB LLC</t>
  </si>
  <si>
    <t>RFU2604071364743</t>
  </si>
  <si>
    <t>ACH D- RFU2604071364743-DRBUY5807084</t>
  </si>
  <si>
    <t>RFU2604071364744</t>
  </si>
  <si>
    <t>ACH D- RFU2604071364744-DRBUY5807082</t>
  </si>
  <si>
    <t>RFU2604071364745</t>
  </si>
  <si>
    <t>ACH D- RFU2604071364745-DRBUY5807217</t>
  </si>
  <si>
    <t>RFU2604071364746</t>
  </si>
  <si>
    <t>ACH D- RFU2604071364746-DRBUY5807089</t>
  </si>
  <si>
    <t>RFU2604081365966</t>
  </si>
  <si>
    <t>ACH D- RFU2604081365966-DRBUY5808579</t>
  </si>
  <si>
    <t>Retirement chgs</t>
  </si>
  <si>
    <t>68840M11F0258226</t>
  </si>
  <si>
    <t>retirement chgs</t>
  </si>
  <si>
    <t>SWIFT CHARGES OF HONORS COMMODITY</t>
  </si>
  <si>
    <t>SMS CHG</t>
  </si>
  <si>
    <t>SMS CHRG FOR:01-01-2026to31-03-2026</t>
  </si>
  <si>
    <t>BHOPAL PYMT</t>
  </si>
  <si>
    <t>PORTAL CHARGES FOR PYMT</t>
  </si>
  <si>
    <t>KZ</t>
  </si>
  <si>
    <t>13-04-2026</t>
  </si>
  <si>
    <t>OTHER CHARGES OF LC PYMT OF HONORS</t>
  </si>
  <si>
    <t>LC Sales</t>
  </si>
  <si>
    <t>BILL COMM AGST INV- 5400514083 LATTONEDIL</t>
  </si>
  <si>
    <t>BILL COMM AGST INV- 5400514072 IDROCENTRO</t>
  </si>
  <si>
    <t>BILL COMM AGST INV- 5400154078 IDROCENTRO</t>
  </si>
  <si>
    <t>BILL COMM AGST INV- 5400514090 LATTONEDIL</t>
  </si>
  <si>
    <t>BILL COMM AGST INV- 5400514093 LATTONEDIL</t>
  </si>
  <si>
    <t>CANC CHARGES ON FWD CANC 24611381</t>
  </si>
  <si>
    <t>68840M11F087842</t>
  </si>
  <si>
    <t>14-04-2026</t>
  </si>
  <si>
    <t>RFU2604131372833</t>
  </si>
  <si>
    <t>ACH D- RFU2604131372833-DRBUY5935643</t>
  </si>
  <si>
    <t>LOCKER RENT</t>
  </si>
  <si>
    <t>LOCKER RENT- BRN 3860/MEDIUM/B01/7 50500004894474</t>
  </si>
  <si>
    <t>15-04-2026</t>
  </si>
  <si>
    <t>CANC CHARGES ON FWD CANC 24240500</t>
  </si>
  <si>
    <t>DISCREPANCY CHARGES AGST INV- 5400513944 ITALPANEL</t>
  </si>
  <si>
    <t>DISCREPANCY CHARGES AGST INV- 5400514002 LATTONED</t>
  </si>
  <si>
    <t>DISCREPANCY CHG AGST DISC INV- 5400513953 KAMARID</t>
  </si>
  <si>
    <t>DISCREPANCY CHG AGST DISC INV- 5400514000 LATTONED</t>
  </si>
  <si>
    <t>BILL HANDLING CHG</t>
  </si>
  <si>
    <t>Booking Charges for 24707390</t>
  </si>
  <si>
    <t>Stamping Charges for 24707390</t>
  </si>
  <si>
    <t>BILL HANDLING CHG OF ISOLLOYD</t>
  </si>
  <si>
    <t>BILL COMM AGST INV- 5400514086 ISOLPACK</t>
  </si>
  <si>
    <t>BILL COMM AGST INV- 5400514081 ISOLPACK</t>
  </si>
  <si>
    <t>RFU2604151374859</t>
  </si>
  <si>
    <t>ACH D- RFU2604151374859-DRBUY5997941</t>
  </si>
  <si>
    <t>RFU2604151374858</t>
  </si>
  <si>
    <t>ACH D- RFU2604151374858-DRBUY5998102</t>
  </si>
  <si>
    <t>RFU2604151374857</t>
  </si>
  <si>
    <t>ACH D- RFU2604151374857-DRBUY5997957</t>
  </si>
  <si>
    <t>0002IBLU0014526</t>
  </si>
  <si>
    <t>Bill Id:[0002IBLU0014526]:</t>
  </si>
  <si>
    <t>0002IBLU0014626</t>
  </si>
  <si>
    <t>Bill Id:[0002IBLU0014626]:</t>
  </si>
  <si>
    <t>0002IBLU0014726</t>
  </si>
  <si>
    <t>Bill Id:[0002IBLU0014726]:</t>
  </si>
  <si>
    <t>0002IBLU0015426</t>
  </si>
  <si>
    <t>Bill Id:[0002IBLU0015426]:</t>
  </si>
  <si>
    <t>0002IBLU0015226</t>
  </si>
  <si>
    <t>Bill Id:[0002IBLU0015226]:</t>
  </si>
  <si>
    <t>0002IBLU0015526</t>
  </si>
  <si>
    <t>Bill Id:[0002IBLU0015526]:</t>
  </si>
  <si>
    <t>LC</t>
  </si>
  <si>
    <t>BILL COMM AGST INV- 5400514079  LATTONEDIL</t>
  </si>
  <si>
    <t>0002IBLU0016226</t>
  </si>
  <si>
    <t>Bill Id:[0002IBLU0016226]:</t>
  </si>
  <si>
    <t>0002IBLU0016326</t>
  </si>
  <si>
    <t>Bill Id:[0002IBLU0016326]:</t>
  </si>
  <si>
    <t>0002IBLU0016726</t>
  </si>
  <si>
    <t>17-04-2026</t>
  </si>
  <si>
    <t>DD ISSUE</t>
  </si>
  <si>
    <t>DD ISSUE CHARGES IN FAV "ICICI BANK"</t>
  </si>
  <si>
    <t>DISCREPANCY CHG AGST DISC INV- 5400514009 LATTONED</t>
  </si>
  <si>
    <t>ACH D- RFU2604151374857-DRBUY6034443</t>
  </si>
  <si>
    <t>ACH D- RFU2604151374858-DRBUY6036807</t>
  </si>
  <si>
    <t>RFU2604161377674</t>
  </si>
  <si>
    <t>ACH D- RFU2604161377674-DRBUY6030782</t>
  </si>
  <si>
    <t>sales</t>
  </si>
  <si>
    <t>BILL COMM AGST INV- 5400514099 LATTONEDIL</t>
  </si>
  <si>
    <t>BILL COMM AGST INV- 5400514095 BRAVO</t>
  </si>
  <si>
    <t xml:space="preserve">LC </t>
  </si>
  <si>
    <t>469FT01261070007</t>
  </si>
  <si>
    <t>COMMISSION ON FOREX PAYMENT OF FERANCO</t>
  </si>
  <si>
    <t>18-04-2026</t>
  </si>
  <si>
    <t>DD CHARGES</t>
  </si>
  <si>
    <t>DD Charges DD Issue  -077575 - 077575</t>
  </si>
  <si>
    <t>20-04-2026</t>
  </si>
  <si>
    <t>DISCREPANCY CHG AGST DISC INV- 5400513958 TOPANEL</t>
  </si>
  <si>
    <t>HOFC</t>
  </si>
  <si>
    <t>C716200426120843</t>
  </si>
  <si>
    <t>PAID AGST HDFC CREDIT CARD</t>
  </si>
  <si>
    <t>RFU2604171379875</t>
  </si>
  <si>
    <t>ACH D- RFU2604171379875-DRBUY6110989</t>
  </si>
  <si>
    <t>RFU2604171379876</t>
  </si>
  <si>
    <t>ACH D- RFU2604171379876-DRBUY6110984</t>
  </si>
  <si>
    <t>RFU2604171379877</t>
  </si>
  <si>
    <t>ACH D- RFU2604171379877-DRBUY6111011</t>
  </si>
  <si>
    <t>RFU2604181382308</t>
  </si>
  <si>
    <t>ACH D- RFU2604181382308-DRBUY6138777</t>
  </si>
  <si>
    <t>RFU2604181382306</t>
  </si>
  <si>
    <t>ACH D- RFU2604181382306-DRBUY6138787</t>
  </si>
  <si>
    <t>RFU2604201383506</t>
  </si>
  <si>
    <t>ACH D- RFU2604201383506-DRBUY6144056</t>
  </si>
  <si>
    <t>RFU2604201383389</t>
  </si>
  <si>
    <t>ACH D- RFU2604201383389-DRBUY6142171</t>
  </si>
  <si>
    <t>RFU2604201383387</t>
  </si>
  <si>
    <t>ACH D- RFU2604201383387-DRBUY6139606</t>
  </si>
  <si>
    <t>Booking Charges for 24732891</t>
  </si>
  <si>
    <t>Stamping Charges for 24732891</t>
  </si>
  <si>
    <t>BILL COMM AGST INV- 5400514065 LATTONEDIL</t>
  </si>
  <si>
    <t>BILL COMM AGST INV- 5400514100 LATTONEDIL</t>
  </si>
  <si>
    <t>BILL COMM AGST INV- 5400514067 TOPANEL</t>
  </si>
  <si>
    <t>BILL COMM AGST INV- 5400514104 TOPANEL</t>
  </si>
  <si>
    <t>BILL COMM AGST INV- 5400514105 TOPANEL</t>
  </si>
  <si>
    <t>BILL COMM AGST INV- 5400514068 BRAVO</t>
  </si>
  <si>
    <t>21-04-2026</t>
  </si>
  <si>
    <t>RFU2604181382307</t>
  </si>
  <si>
    <t>ACH D- RFU2604181382307-DRBUY6139673</t>
  </si>
  <si>
    <t>FOREIGN PAYMENT CHG TO HONORS</t>
  </si>
  <si>
    <t>SWIFT CHARGES OF BAOSTEEL</t>
  </si>
  <si>
    <t>SWIFT CHARGES OF HONORS</t>
  </si>
  <si>
    <t>BILL COMM AGST INV- 5400514096 TERASTEEL</t>
  </si>
  <si>
    <t>BILL COMM AGST INV- 5400514098 BRAVO</t>
  </si>
  <si>
    <t>BILL COMM AGST INV- 5400514066 TOPANEL</t>
  </si>
  <si>
    <t>22-04-2026</t>
  </si>
  <si>
    <t>DISCREPANCY CHG AGST INV- 5400513963 TOPANEL</t>
  </si>
  <si>
    <t>23-04-2026</t>
  </si>
  <si>
    <t>dd bank charges for fetal case</t>
  </si>
  <si>
    <t>0NCB271135400118</t>
  </si>
  <si>
    <t>AB</t>
  </si>
  <si>
    <t>0NCB271135400119</t>
  </si>
  <si>
    <t>RFU2604221386349</t>
  </si>
  <si>
    <t>ACH D- RFU2604221386349-DRBUY6207193</t>
  </si>
  <si>
    <t>RFU2604221386350</t>
  </si>
  <si>
    <t>ACH D- RFU2604221386350-DRBUY6207139</t>
  </si>
  <si>
    <t>RFU2604221386977</t>
  </si>
  <si>
    <t>ACH D- RFU2604221386977-DRBUY6211190</t>
  </si>
  <si>
    <t>RFU2604221386978</t>
  </si>
  <si>
    <t>ACH D- RFU2604221386978-DRBUY6210609</t>
  </si>
  <si>
    <t>RFU2604221387221</t>
  </si>
  <si>
    <t>ACH D- RFU2604221387221-DRBUY6208853</t>
  </si>
  <si>
    <t>CANC CHARGES ON FWD CANC 22052866</t>
  </si>
  <si>
    <t>BILL COMM AGST INV- 5400514121 TOPANEL</t>
  </si>
  <si>
    <t>BILL COMM AGST INV- 5400514092 INGROS</t>
  </si>
  <si>
    <t>24-04-2026</t>
  </si>
  <si>
    <t>DISCREPANCY CHG AGST DISC CRED INV- 5400514013 LAT</t>
  </si>
  <si>
    <t>BILL COMM AGST INV- 5400514087 ISOLPACK</t>
  </si>
  <si>
    <t>BILL COMM AGST INV- 5400514113 ITALPANNELLI</t>
  </si>
  <si>
    <t>BILL COMM AGST INV- 5400514094 KAMARIDIS</t>
  </si>
  <si>
    <t>BILL COMM AGST INV- 5400514116 LATTONEDIL</t>
  </si>
  <si>
    <t>BILL COMM AGST INV- 5400514118 LATTONEDIL</t>
  </si>
  <si>
    <t>469PCFC261140001</t>
  </si>
  <si>
    <t>PCFC</t>
  </si>
  <si>
    <t>COMM ON EXPORT AGST 469PCFC261140001 EUR 650000</t>
  </si>
  <si>
    <t>RFU2604231388646</t>
  </si>
  <si>
    <t>ACH D- RFU2604231388646-DRBUY6248379</t>
  </si>
  <si>
    <t>RFU2604231388647</t>
  </si>
  <si>
    <t>ACH D- RFU2604231388647-DRBUY6248329</t>
  </si>
  <si>
    <t>CANC CHARGES ON FWD CANC 22063927</t>
  </si>
  <si>
    <t>CANC CHARGES ON FWD CANC 22066489</t>
  </si>
  <si>
    <t>27-04-2026</t>
  </si>
  <si>
    <t>BILL COMM AGST INV- 5400514119 KAMARIDIS</t>
  </si>
  <si>
    <t>Booking Charges for 24789291</t>
  </si>
  <si>
    <t>Stamping Charges for 24789291</t>
  </si>
  <si>
    <t>0552ILD261062308</t>
  </si>
  <si>
    <t>COURIER CHG</t>
  </si>
  <si>
    <t>28-04-2026</t>
  </si>
  <si>
    <t>DISCREPANCY CHG AGST DISC CRED INV- 5400513998 LAT</t>
  </si>
  <si>
    <t>DISCREPANCY CHG AGST DISC CRED INV- 5400514025 LAT</t>
  </si>
  <si>
    <t>RFU2604241390513</t>
  </si>
  <si>
    <t>ACH D- RFU2604241390513-DRBUY6333760</t>
  </si>
  <si>
    <t>RFU2604241390514</t>
  </si>
  <si>
    <t>ACH D- RFU2604241390514-DRBUY6333754</t>
  </si>
  <si>
    <t>BILL COMM AGST INV- 5400514075 IDROCENTRO</t>
  </si>
  <si>
    <t>29-04-2026</t>
  </si>
  <si>
    <t>30-04-2026</t>
  </si>
  <si>
    <t>DISCREPANCY CHG AGST DISC CRED INV- 5400513977 KAM</t>
  </si>
  <si>
    <t>CMS PORTAL APR26</t>
  </si>
  <si>
    <t>CMS PORTAL CHG FOR APR-26</t>
  </si>
  <si>
    <t>RFU2604281394313</t>
  </si>
  <si>
    <t>ACH D- RFU2604281394313-DRBUY6414407</t>
  </si>
  <si>
    <t>RFU2604281394312</t>
  </si>
  <si>
    <t>ACH D- RFU2604281394312-DRBUY6413267</t>
  </si>
  <si>
    <t>RFU2604281394311</t>
  </si>
  <si>
    <t>ACH D- RFU2604281394311-DRBUY6414925</t>
  </si>
  <si>
    <t>RFU2604281394310</t>
  </si>
  <si>
    <t>ACH D- RFU2604281394310-DRBUY6413237</t>
  </si>
  <si>
    <t>BILL COMM AGST INV- 5400514115 LATTONEDIL</t>
  </si>
  <si>
    <t>CANC CHARGES ON FWD CANC 22147655</t>
  </si>
  <si>
    <t>CANC CHARGES ON FWD CANC 22216190</t>
  </si>
  <si>
    <t>0002IBLU0020426</t>
  </si>
  <si>
    <t>Bill Id:[0002IBLU0020426]:</t>
  </si>
  <si>
    <t>BANK CHRGS APR26</t>
  </si>
  <si>
    <t>BANK CHRGS APRIL 2026</t>
  </si>
  <si>
    <t>SC NO A9016648 MR. SUSHIL SIR FOR MONTH APRIL 26</t>
  </si>
  <si>
    <t>2027/02</t>
  </si>
  <si>
    <t>SC NO A5028586 P SRI KIRAN FOR APRIL 26</t>
  </si>
  <si>
    <t>SC NO A5026119 P. SRI KIRAN FOR APRIL 26</t>
  </si>
  <si>
    <t>STAMP DUTY</t>
  </si>
  <si>
    <t>25-04-2026</t>
  </si>
  <si>
    <t>V0</t>
  </si>
  <si>
    <t>STAMP DUTY SRO</t>
  </si>
  <si>
    <t>TRFD TO PREPAID</t>
  </si>
  <si>
    <t>UBI BG COMM</t>
  </si>
  <si>
    <t>BG COMM FR 13.06.25-13.06.27 UBI OF KUTCH ELECTRIC</t>
  </si>
  <si>
    <t>COMM ON LC ADVISED</t>
  </si>
  <si>
    <t>BILL COMM AGST BOE- 102326 JSO</t>
  </si>
  <si>
    <t>LC RETIREMENT CHARGES OF HONORS COMMODITY</t>
  </si>
  <si>
    <t>BILL COMM AGST BOE-102337 JSO</t>
  </si>
  <si>
    <t>LC AMND CHARGES ON EXPORT BILL</t>
  </si>
  <si>
    <t>BILL COMM AGST BOE- 102345 JSO</t>
  </si>
  <si>
    <t>LC OPEN CHG OF USD- 10,40,000 HONORS</t>
  </si>
  <si>
    <t>BILL COMM AGST BOE- 102356 JSO</t>
  </si>
  <si>
    <t>BILL COMM AGST BOE- 102368 JSO</t>
  </si>
  <si>
    <t>BILL COMM AGST BOE- 102382 JSO</t>
  </si>
  <si>
    <t>LC OPEN CHG OF $ 1625000 BAOSTEEL</t>
  </si>
  <si>
    <t>BILL COMM AGST BOE- 102403 JSO</t>
  </si>
  <si>
    <t>BILL COMM AGST BOE- 102391 JSO</t>
  </si>
  <si>
    <t>BILL COMM AGST BOE- 102392 JSO</t>
  </si>
  <si>
    <t>BILL COMM AGST BOE- 102402 JSO</t>
  </si>
  <si>
    <t>BILL COMM AGST BOE- 102423 JSO</t>
  </si>
  <si>
    <t>BILL COMM AGST BOE- 102417 JSO</t>
  </si>
  <si>
    <t>BILL COMM AGST BOE- 102419 JSO</t>
  </si>
  <si>
    <t>BILL COMM AGST LC PAYMENT OF HONORS</t>
  </si>
  <si>
    <t>BILL COMM AGST BOE- 102427 JSO</t>
  </si>
  <si>
    <t>LC AMND CHG FOR CHANGE OF CLAUSE FIELD 44C &amp; 31D</t>
  </si>
  <si>
    <t>BILL COMM AGST BOE- 102428 JSO</t>
  </si>
  <si>
    <t>BILL COMM AGST BOE- 102434 JSO</t>
  </si>
  <si>
    <t>LC OPEN CHG AGST 469LC03261070002 0.66 CR JSO</t>
  </si>
  <si>
    <t>BILL COMM AGST BOE- 102447 JSO</t>
  </si>
  <si>
    <t>BILL COMM AGST BOE- 102446 JSO</t>
  </si>
  <si>
    <t>LC AMEND CHG FOR VALUE USD 1040000 TO 2325000 BAO</t>
  </si>
  <si>
    <t>BILL COMM AGST BOE- 102452 JSO</t>
  </si>
  <si>
    <t>KG</t>
  </si>
  <si>
    <t>LC CHARGES REVERSAL OF Q3 OF UCO BANK</t>
  </si>
  <si>
    <t>BILL COMM AGST BOE- 102457 JSO</t>
  </si>
  <si>
    <t>BILL COMM AGST BOE- 102458 JSO</t>
  </si>
  <si>
    <t>0002IBLU0003626</t>
  </si>
  <si>
    <t>BILL COMM AGST BOE- 102522 JSO</t>
  </si>
  <si>
    <t>BILL COMM AGST BOE- 102470 JSO</t>
  </si>
  <si>
    <t>BILL COMM AGST BOE- 102477 JSO</t>
  </si>
  <si>
    <t>LC AMEND CHG FOR VALUE USD 2325000 TO 2795350 BAOS</t>
  </si>
  <si>
    <t>BILL RETIREMENT CHG AGST BOE-102484 JSO</t>
  </si>
  <si>
    <t>BILL RETIREMENT CHG AGST BOE-102486 JSO</t>
  </si>
  <si>
    <t>BILL RETIREMENT CHG AGST BOE-102485 JSO</t>
  </si>
  <si>
    <t>BILL COMM AGST BOE- 102498 JSO</t>
  </si>
  <si>
    <t>BILL COMM AGST BOE- 102502 JSO</t>
  </si>
  <si>
    <t>5600630194 &amp; 244</t>
  </si>
  <si>
    <t>31-03-2026</t>
  </si>
  <si>
    <t>BANK CHARGES AME</t>
  </si>
  <si>
    <t>bank charges wrongly DN rectify(5600630194&amp;244</t>
  </si>
  <si>
    <t>AUTO INTEREST PAYM</t>
  </si>
  <si>
    <t>469LN02260770004</t>
  </si>
  <si>
    <t>WCDL</t>
  </si>
  <si>
    <t>AUTO INTEREST PAYMENT ON WCDL AGAINST 469LN0226077</t>
  </si>
  <si>
    <t>P.SHRIVASTAVA</t>
  </si>
  <si>
    <t>ZL</t>
  </si>
  <si>
    <t>PAID FOR LC CHARGES LC NO- IO99952</t>
  </si>
  <si>
    <t>PAID FOR LC CHARGES LC NO I099949 DTD- 29.04.26</t>
  </si>
  <si>
    <t>REV IN APR'2026</t>
  </si>
  <si>
    <t>EXCESS LC CHG</t>
  </si>
  <si>
    <t>EXCESS LC CHARGES DEDUCT BY UCO BANK FOR Q3</t>
  </si>
  <si>
    <t>UCO LC CHARGES</t>
  </si>
  <si>
    <t>EXCESS LC CHARGES DEDUCTED BY UCO BANK FOR Q3</t>
  </si>
  <si>
    <t>06.04.26 -05.04.27</t>
  </si>
  <si>
    <t>ENHANCE OF WC FRM 53 CR TO 63 CR</t>
  </si>
  <si>
    <t>06.04.26- 05.04.31</t>
  </si>
  <si>
    <t>Term Loan</t>
  </si>
  <si>
    <t>TERM LOAN OF SOLAR POWER</t>
  </si>
  <si>
    <t>INC OF WC FRM 53 CR TO 63 CR 06.04.26 - 05.04.27</t>
  </si>
  <si>
    <t>TL OF SOLAR POWER 06.0426 - 05.04.31</t>
  </si>
  <si>
    <t>PROC FEETL KOTAK</t>
  </si>
  <si>
    <t>PROC FEE OF WC OF 10 CR FR 06.04.26-05.04.27 KOTAK</t>
  </si>
  <si>
    <t>PROC FEE OF TL OF 22 CR FR 06.04.26-05.04.31 KOTAK</t>
  </si>
  <si>
    <t>PROC FEE UBI SCF</t>
  </si>
  <si>
    <t>PROC FEES OF UBI SCF FR 01.12.25 TO 30.11.26</t>
  </si>
  <si>
    <t>PROCESSING FEE</t>
  </si>
  <si>
    <t>PROC FEE OF HDFC BANK NFB 30CR 09.02.26 - 09.02.27</t>
  </si>
  <si>
    <t>B DISC PROC FEES</t>
  </si>
  <si>
    <t>BILL DISC PROC FEES FROM 20.08.25-19.08.26 PNB CA</t>
  </si>
  <si>
    <t>PROC FEES 25 CR</t>
  </si>
  <si>
    <t>PROC FEES ON 25 CR OF BOB SCF 17.03.26 TO 16.03.27</t>
  </si>
  <si>
    <t>PROC FEES KOTAK</t>
  </si>
  <si>
    <t>PROC FEES ON KOTAK FROM 23-08-25 TO 22-08-26</t>
  </si>
  <si>
    <t>PROC FEEWC KOTAK</t>
  </si>
  <si>
    <t>PROC FEE INDIAN</t>
  </si>
  <si>
    <t>PROC FEES OF INDIAN BANK 01.06.25 TO 31.05.26</t>
  </si>
  <si>
    <t>PROC FEE UBI NFB</t>
  </si>
  <si>
    <t>PROC FEES OF UBI FR 13.11.25 TO 12.11.26 ON 145 CR</t>
  </si>
  <si>
    <t>PROC FEE UBI FB</t>
  </si>
  <si>
    <t>PROC FEES OF UBI FR 13.11.25 TO 12.11.26 ON 33 CR</t>
  </si>
  <si>
    <t>PROC FEES MISC</t>
  </si>
  <si>
    <t>PROC CHARGES FOR MISC REQUEST OF UBI 2.2.26-1.2.27</t>
  </si>
  <si>
    <t>TEV CHG UBI</t>
  </si>
  <si>
    <t>TEV CHG ON 21 CR @ 0.20% AND 20% ADV OF UBI</t>
  </si>
  <si>
    <t>LEAD BANK CHG</t>
  </si>
  <si>
    <t>LEAD BANK CHG OF UBI 23.12.25-22.12.26</t>
  </si>
  <si>
    <t>PROC FEES WCL</t>
  </si>
  <si>
    <t>PROC FEES FOR WC OF RS.20.00 CR EXIM BANK 30.11.29</t>
  </si>
  <si>
    <t>INT CCL-II APR26</t>
  </si>
  <si>
    <t>EXIM</t>
  </si>
  <si>
    <t>EXIM CCL-II LOAN INT FOR APR-26</t>
  </si>
  <si>
    <t>EXIM INT APR-26</t>
  </si>
  <si>
    <t>EXIM REIMBURSEMENT LOAN INT FOR APR-26</t>
  </si>
  <si>
    <t>EXIMTL INT APR26</t>
  </si>
  <si>
    <t>EXIM ALUZINC TL LOAN INT FOR APR-26</t>
  </si>
  <si>
    <t>LTWC INT APR-26</t>
  </si>
  <si>
    <t>EXIM LTWC TL INT FOR APR-26</t>
  </si>
  <si>
    <t>469LN02260750017</t>
  </si>
  <si>
    <t>WCDL INT OF RS 0.16 CR  APR'26 HDFC</t>
  </si>
  <si>
    <t>INDIAN INT APR26</t>
  </si>
  <si>
    <t>CC</t>
  </si>
  <si>
    <t>CC INT PROVIDED FOR APR-26 INDIAN</t>
  </si>
  <si>
    <t>UBI CC INT APR26</t>
  </si>
  <si>
    <t>UBI CC INT PROVIDED FOR APR-26</t>
  </si>
  <si>
    <t>CC INT APR-26</t>
  </si>
  <si>
    <t>CC INT APR-26 UCO</t>
  </si>
  <si>
    <t>469PCFC252970001</t>
  </si>
  <si>
    <t>PCFC INT FOR APR-26 OF 820450 EURO HDFC</t>
  </si>
  <si>
    <t>0552PCF261496468</t>
  </si>
  <si>
    <t>PCFC INT FOR APR-26</t>
  </si>
  <si>
    <t>0552PCF251422006</t>
  </si>
  <si>
    <t>0552PCF261493637</t>
  </si>
  <si>
    <t>0552PCF251401165</t>
  </si>
  <si>
    <t>469PCFC253280002</t>
  </si>
  <si>
    <t>PCFC INT FOR APR-26 OF 1000000 EURO HDFC</t>
  </si>
  <si>
    <t>PCFC INT FOR APR-26 OF 650000 EURO HDFC</t>
  </si>
  <si>
    <t>13TH INSTALMENT</t>
  </si>
  <si>
    <t>BMW 13TH INSTALM</t>
  </si>
  <si>
    <t>Car Loan</t>
  </si>
  <si>
    <t>INTEREST PAID FOR 13TH INSTALMENT OF BMW</t>
  </si>
  <si>
    <t>INT ON 31TH EMI BOB CAR LOAN HYD</t>
  </si>
  <si>
    <t>8TH INSTALLMENT</t>
  </si>
  <si>
    <t>8TH INSTALLMENT INT PAID FOR BMW</t>
  </si>
  <si>
    <t>BOB CAR LOAN EMI</t>
  </si>
  <si>
    <t>58TH EMI CARLOAN</t>
  </si>
  <si>
    <t>INTEREST ON CAR LOAN</t>
  </si>
  <si>
    <t>BOLERO</t>
  </si>
  <si>
    <t>AMT PAID AGST EMI</t>
  </si>
  <si>
    <t>INT ON 40TH EMI</t>
  </si>
  <si>
    <t>INT ON 40TH EMI BOB CAR LOAN 8.21LAC</t>
  </si>
  <si>
    <t>INT PROV BOB SCF</t>
  </si>
  <si>
    <t>INT PROVIDED FOR MAR-26 BOB SCF</t>
  </si>
  <si>
    <t>RI-100426-001771</t>
  </si>
  <si>
    <t>ACH D- M1  RI-100426-001771</t>
  </si>
  <si>
    <t>RI-240326-002189</t>
  </si>
  <si>
    <t>ACH D- M1  RI-240326-002189</t>
  </si>
  <si>
    <t>RI-240326-002190</t>
  </si>
  <si>
    <t>ACH D- M1  RI-240326-002190</t>
  </si>
  <si>
    <t>INT PROVIDED FOR APR-26 BOB SCF</t>
  </si>
  <si>
    <t>UBI SCF INT APR</t>
  </si>
  <si>
    <t>INT PROVIDED FOR APR-26 OF UBI SCF</t>
  </si>
  <si>
    <t>TRN FEE FOR OTHER SERVICES AUXILARY TO FINANCE SER</t>
  </si>
  <si>
    <t>1-469LN022607700</t>
  </si>
  <si>
    <t>22ND INSTALLMENT</t>
  </si>
  <si>
    <t>INT ON HYDRA FOR 22ND INSTALLMENT</t>
  </si>
  <si>
    <t>INT ON DG SET FOR 22ND INSTALLMENT</t>
  </si>
  <si>
    <t>HYD FACTORY ELECTI</t>
  </si>
  <si>
    <t>ICD 90902.57-TDS 9090= 81813</t>
  </si>
  <si>
    <t>INT PROV HONORS</t>
  </si>
  <si>
    <t>INT PROVIDED FROM UPTO 31.03.2026 HONORS COMMODITY</t>
  </si>
  <si>
    <t>INT ON LC PAYMENT OF HONORS</t>
  </si>
  <si>
    <t>INT FOR 145 DAYS @ 4.19926% HONORS</t>
  </si>
  <si>
    <t>INT ON BILL LC PYMT INV- HSZHYW-LY2508009 HONORS</t>
  </si>
  <si>
    <t>18-03-2026</t>
  </si>
  <si>
    <t>DH2616003610</t>
  </si>
  <si>
    <t>BOE</t>
  </si>
  <si>
    <t>Int@7.20% 90Day BoeNo.JSO/102901-18.03.2026</t>
  </si>
  <si>
    <t>others</t>
  </si>
  <si>
    <t>INT PROVIDED FROM UPTO 30.04.2026 HONORS COMMODITY</t>
  </si>
  <si>
    <t>DH2616000044</t>
  </si>
  <si>
    <t>Int@7.20% 90Day BoeNo.JSO/103010-01.04.2026</t>
  </si>
  <si>
    <t>DH2616000043</t>
  </si>
  <si>
    <t>Int@7.20% 90Day BoeNo.JSO/103011-01.04.2026</t>
  </si>
  <si>
    <t>HONORS COMMODITY</t>
  </si>
  <si>
    <t>19-06-2024</t>
  </si>
  <si>
    <t>216DRU5240870002</t>
  </si>
  <si>
    <t>RECD MARGIN MONEY &amp; DN AMOUN FROM LLOYD INSULATION</t>
  </si>
  <si>
    <t>PENAL INT BILL DISC AGST INV-5400513966 LATTONEDIL</t>
  </si>
  <si>
    <t>PENAL INT BILL DISC AGST INV-5400513904 BRAVO INT</t>
  </si>
  <si>
    <t>PENAL INT BILL DISC AGST INV- 5400513913 BRAVO INT</t>
  </si>
  <si>
    <t>PENAL INT BILL DISC AGST INV- 5400513916 BRAVO INT</t>
  </si>
  <si>
    <t>PENAL INT BILL DISC AGST INV- 5400513914 BRAVO INT</t>
  </si>
  <si>
    <t>PENAL INT BILL DISC AGST INV- 5400513907 BRAVO INT</t>
  </si>
  <si>
    <t>PENAL INT BILL DISC AGST INV- 5400513908 BRAVO INT</t>
  </si>
  <si>
    <t xml:space="preserve">Penal Interest </t>
  </si>
  <si>
    <t>PENAL INT BILL DISC AGST INV- 5400513966 LATTONED</t>
  </si>
  <si>
    <t>INT ON BILL DISC AGST INV- 5400514062 KAMARIDAS</t>
  </si>
  <si>
    <t>INT ON BILL DISC AGST INV- 5400514061 PAGOUNI SA</t>
  </si>
  <si>
    <t>Intt Recd</t>
  </si>
  <si>
    <t>INT RECD ON BILL DISC CRED INV- 5400513947 PAGOUNI</t>
  </si>
  <si>
    <t>lc retirement</t>
  </si>
  <si>
    <t>INTEREST ON BILL MATURITY EXTENSION</t>
  </si>
  <si>
    <t>INT ON BILL DISC AGST INV- 5400514093 LATTONED</t>
  </si>
  <si>
    <t>INT ON BILL DISC AGST INV- 5400514090 LATTONED</t>
  </si>
  <si>
    <t>PENAL INT ON BILL DISC INV- 5400513944 ITALPANNELL</t>
  </si>
  <si>
    <t>INT ON BILL DISC AGST INV-5600633707,708,709 ISOLL</t>
  </si>
  <si>
    <t>INT ON BILL DISC AGST INV- 5600633807,815,816 ISOL</t>
  </si>
  <si>
    <t>INT ON BILL DISC AGST INV-5600633807,815,816 ISOLL</t>
  </si>
  <si>
    <t>INT ON BILL DISC AGST INV- 5400154078 IDROCENTRO</t>
  </si>
  <si>
    <t>INT ON BILL DISC AGST INV- 5400514083 LATTONED</t>
  </si>
  <si>
    <t>INT ON BILL DISC AGST INV- 5400154072 IDROCENTRO</t>
  </si>
  <si>
    <t>INT ON BILL DISC AGST INV- 5400514086 ISOLPACK</t>
  </si>
  <si>
    <t>INT ON BILL DISC AGST INV- 5400514079 LATTONEDIL</t>
  </si>
  <si>
    <t>INT ON BILL DISC AGST INV- 5400514081 ISOLPACK</t>
  </si>
  <si>
    <t>INT ON EXPORT DISC AGST INV- 5400513981 LATTONEDIL</t>
  </si>
  <si>
    <t>INT RECD ON BILL DISC CRED INV- 5400513981 LATTON</t>
  </si>
  <si>
    <t>INT ON BILL DISC AGST INV- 5400514099 LATTONEDIL</t>
  </si>
  <si>
    <t>INT ON BILL DISC AGST INV- 5400514095 BRAVO</t>
  </si>
  <si>
    <t>INT ON EXPORT BILL DISC AGST INV- 5400514068 BRAVO</t>
  </si>
  <si>
    <t>INT ON EXPORT BILL DISC AGST INV-5400514104 TOPANL</t>
  </si>
  <si>
    <t>INT ON EXPORT BILL DISC AGST INV-5400514067 TOPANL</t>
  </si>
  <si>
    <t>INT ON EXPORT BILL DISC AGST INV-5400514065 LATTON</t>
  </si>
  <si>
    <t>INT ON EXPORT DISC AGST INV- 5400514105 TOPANEL</t>
  </si>
  <si>
    <t>INT ON EXPORT DISC AGST INV- 5400514100 LATTONEDIL</t>
  </si>
  <si>
    <t>INT ON EXPORT DISC AGST INV-5400514096 TERASTEEL</t>
  </si>
  <si>
    <t>INT ON EXPORT BILL DISC AGST INV- 5400514098 BRAVO</t>
  </si>
  <si>
    <t>INT ON EXPORT BILL DISC AGST INV-5400514066 TOPANL</t>
  </si>
  <si>
    <t>PENAL INT ON BILL AGST 469PCFC252970001 EUR 820450</t>
  </si>
  <si>
    <t>INT ON EXPORT BILL AGST INV- 5400514087 ISOLPACK</t>
  </si>
  <si>
    <t>PENAL INT ON PCFC AGST 469PCFC252970001_EUR 820450</t>
  </si>
  <si>
    <t>INT ON BILL DISC AGST INV- 5400514087 ISOLPACK</t>
  </si>
  <si>
    <t>INT ON BILL DISC AGST INV- 5400514113 ITALPANNELLI</t>
  </si>
  <si>
    <t>INT ON BILL DISC AGST INV- 5400514094 KAMARIDIS</t>
  </si>
  <si>
    <t>INT ON BILL DISC AGST INV- 5400514116 LATTONEDIL</t>
  </si>
  <si>
    <t>INT ON BILL DISC AGST INV- 5400514092 INGROS</t>
  </si>
  <si>
    <t>INT ON BILL DISC AGST INV- 5400514119 KAMARIDIS</t>
  </si>
  <si>
    <t>INT ON BILL DISC AGST INV- 5400514118 LATTONEDIL</t>
  </si>
  <si>
    <t>INT ON BILL DISC AGST INV- 5400514121 TOPANEL</t>
  </si>
  <si>
    <t>INT ON BILL DISC AGST INV- 5400514075 IDROCENTRO</t>
  </si>
  <si>
    <t>INT ON BILL DISC AGST INV- 5400514115 LATTONEDIL</t>
  </si>
  <si>
    <t>SAP VS W</t>
  </si>
  <si>
    <t>W</t>
  </si>
</sst>
</file>

<file path=xl/styles.xml><?xml version="1.0" encoding="utf-8"?>
<styleSheet xmlns="http://schemas.openxmlformats.org/spreadsheetml/2006/main">
  <numFmts count="9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 * #,##0_ ;_ * \-#,##0_ ;_ * &quot;-&quot;??_ ;_ @_ "/>
    <numFmt numFmtId="168" formatCode="[$-409]d\-mmm\-yy;@"/>
    <numFmt numFmtId="169" formatCode="mm/dd/yy;@"/>
    <numFmt numFmtId="170" formatCode="#,##0;\(#,##0\)"/>
    <numFmt numFmtId="171" formatCode="_(* #,##0.0_);_(* \(#,##0.0\);_(* &quot;-&quot;??_);_(@_)"/>
    <numFmt numFmtId="172" formatCode="[$-409]d\-mmm\-yyyy;@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scheme val="minor"/>
    </font>
    <font>
      <b/>
      <u/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000000"/>
      <name val="Calibri"/>
      <scheme val="minor"/>
    </font>
    <font>
      <b/>
      <sz val="9"/>
      <name val="Calibri"/>
      <scheme val="minor"/>
    </font>
    <font>
      <sz val="9"/>
      <color rgb="FF000000"/>
      <name val="Calibri"/>
      <scheme val="minor"/>
    </font>
    <font>
      <sz val="10"/>
      <name val="Arial"/>
    </font>
    <font>
      <sz val="9"/>
      <color rgb="FFFF0000"/>
      <name val="Calibri"/>
      <scheme val="minor"/>
    </font>
    <font>
      <b/>
      <sz val="9"/>
      <color theme="1"/>
      <name val="Calibri"/>
      <scheme val="minor"/>
    </font>
    <font>
      <sz val="9"/>
      <name val="Calibri"/>
      <scheme val="minor"/>
    </font>
    <font>
      <sz val="9"/>
      <color rgb="FF242424"/>
      <name val="Calibri"/>
      <scheme val="minor"/>
    </font>
    <font>
      <sz val="9"/>
      <name val="Calibri"/>
    </font>
    <font>
      <b/>
      <sz val="9"/>
      <name val="Calibri"/>
    </font>
    <font>
      <sz val="9"/>
      <color theme="1"/>
      <name val="Calibri"/>
    </font>
    <font>
      <sz val="9"/>
      <color rgb="FFFF0000"/>
      <name val="Calibri"/>
      <family val="2"/>
      <scheme val="minor"/>
    </font>
    <font>
      <sz val="9"/>
      <color rgb="FF000000"/>
      <name val="Calibri"/>
    </font>
    <font>
      <sz val="9"/>
      <color rgb="FFFF0000"/>
      <name val="Calibri"/>
    </font>
    <font>
      <b/>
      <sz val="9"/>
      <color rgb="FF000000"/>
      <name val="Calibri"/>
    </font>
    <font>
      <sz val="9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2">
    <xf numFmtId="0" fontId="0" fillId="0" borderId="0" xfId="0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 wrapText="1"/>
    </xf>
    <xf numFmtId="165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14" fontId="3" fillId="0" borderId="2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165" fontId="5" fillId="0" borderId="2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9" fontId="7" fillId="3" borderId="1" xfId="0" applyNumberFormat="1" applyFont="1" applyFill="1" applyBorder="1" applyAlignment="1">
      <alignment horizontal="center" vertical="top"/>
    </xf>
    <xf numFmtId="14" fontId="7" fillId="3" borderId="1" xfId="0" applyNumberFormat="1" applyFont="1" applyFill="1" applyBorder="1" applyAlignment="1">
      <alignment horizontal="center" vertical="top"/>
    </xf>
    <xf numFmtId="9" fontId="7" fillId="3" borderId="1" xfId="0" applyNumberFormat="1" applyFont="1" applyFill="1" applyBorder="1" applyAlignment="1">
      <alignment horizontal="center" vertical="top" wrapText="1"/>
    </xf>
    <xf numFmtId="165" fontId="7" fillId="3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 wrapText="1"/>
    </xf>
    <xf numFmtId="2" fontId="7" fillId="4" borderId="1" xfId="0" applyNumberFormat="1" applyFont="1" applyFill="1" applyBorder="1" applyAlignment="1">
      <alignment horizontal="center" vertical="top" wrapText="1"/>
    </xf>
    <xf numFmtId="165" fontId="7" fillId="4" borderId="1" xfId="0" applyNumberFormat="1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166" fontId="8" fillId="3" borderId="1" xfId="0" applyNumberFormat="1" applyFont="1" applyFill="1" applyBorder="1" applyAlignment="1">
      <alignment horizontal="center" vertical="top" wrapText="1"/>
    </xf>
    <xf numFmtId="165" fontId="8" fillId="5" borderId="1" xfId="0" applyNumberFormat="1" applyFont="1" applyFill="1" applyBorder="1" applyAlignment="1">
      <alignment horizontal="center" vertical="top" wrapText="1"/>
    </xf>
    <xf numFmtId="164" fontId="8" fillId="5" borderId="1" xfId="0" applyNumberFormat="1" applyFont="1" applyFill="1" applyBorder="1" applyAlignment="1">
      <alignment horizontal="center" vertical="top" wrapText="1"/>
    </xf>
    <xf numFmtId="167" fontId="7" fillId="3" borderId="1" xfId="1" applyNumberFormat="1" applyFont="1" applyFill="1" applyBorder="1" applyAlignment="1">
      <alignment horizontal="center" vertical="top" wrapText="1"/>
    </xf>
    <xf numFmtId="164" fontId="7" fillId="6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/>
    </xf>
    <xf numFmtId="9" fontId="6" fillId="0" borderId="1" xfId="0" applyNumberFormat="1" applyFont="1" applyBorder="1" applyAlignment="1">
      <alignment horizontal="center" vertical="top"/>
    </xf>
    <xf numFmtId="9" fontId="5" fillId="0" borderId="1" xfId="0" applyNumberFormat="1" applyFont="1" applyBorder="1" applyAlignment="1">
      <alignment vertical="top"/>
    </xf>
    <xf numFmtId="164" fontId="0" fillId="0" borderId="1" xfId="1" applyFont="1" applyBorder="1" applyAlignment="1">
      <alignment vertical="top"/>
    </xf>
    <xf numFmtId="1" fontId="6" fillId="0" borderId="1" xfId="0" applyNumberFormat="1" applyFont="1" applyBorder="1" applyAlignment="1">
      <alignment horizontal="right" vertical="top"/>
    </xf>
    <xf numFmtId="1" fontId="3" fillId="0" borderId="1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2" fontId="6" fillId="0" borderId="1" xfId="0" applyNumberFormat="1" applyFont="1" applyBorder="1" applyAlignment="1">
      <alignment vertical="top"/>
    </xf>
    <xf numFmtId="165" fontId="6" fillId="0" borderId="1" xfId="0" applyNumberFormat="1" applyFont="1" applyBorder="1" applyAlignment="1">
      <alignment vertical="top"/>
    </xf>
    <xf numFmtId="166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horizontal="right" vertical="top"/>
    </xf>
    <xf numFmtId="167" fontId="3" fillId="0" borderId="1" xfId="1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 wrapText="1"/>
    </xf>
    <xf numFmtId="164" fontId="10" fillId="3" borderId="1" xfId="0" applyNumberFormat="1" applyFont="1" applyFill="1" applyBorder="1" applyAlignment="1">
      <alignment horizontal="center" vertical="top" wrapText="1"/>
    </xf>
    <xf numFmtId="165" fontId="10" fillId="3" borderId="1" xfId="0" applyNumberFormat="1" applyFont="1" applyFill="1" applyBorder="1" applyAlignment="1">
      <alignment horizontal="center" vertical="top"/>
    </xf>
    <xf numFmtId="165" fontId="10" fillId="3" borderId="1" xfId="0" applyNumberFormat="1" applyFont="1" applyFill="1" applyBorder="1" applyAlignment="1">
      <alignment horizontal="center" vertical="top" wrapText="1"/>
    </xf>
    <xf numFmtId="165" fontId="10" fillId="2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horizontal="center"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/>
    <xf numFmtId="14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7" fillId="12" borderId="1" xfId="0" applyFont="1" applyFill="1" applyBorder="1" applyAlignment="1">
      <alignment horizontal="center" vertical="top" wrapText="1"/>
    </xf>
    <xf numFmtId="0" fontId="7" fillId="12" borderId="8" xfId="0" applyFont="1" applyFill="1" applyBorder="1" applyAlignment="1">
      <alignment horizontal="center" vertical="top" wrapText="1"/>
    </xf>
    <xf numFmtId="0" fontId="7" fillId="13" borderId="8" xfId="0" applyFont="1" applyFill="1" applyBorder="1" applyAlignment="1">
      <alignment horizontal="center" vertical="top" wrapText="1"/>
    </xf>
    <xf numFmtId="0" fontId="7" fillId="12" borderId="9" xfId="0" applyFont="1" applyFill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left" vertical="top"/>
    </xf>
    <xf numFmtId="165" fontId="5" fillId="0" borderId="10" xfId="0" applyNumberFormat="1" applyFont="1" applyBorder="1"/>
    <xf numFmtId="0" fontId="5" fillId="0" borderId="1" xfId="0" applyFont="1" applyBorder="1"/>
    <xf numFmtId="10" fontId="5" fillId="0" borderId="11" xfId="0" applyNumberFormat="1" applyFont="1" applyBorder="1"/>
    <xf numFmtId="0" fontId="7" fillId="0" borderId="13" xfId="0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0" fontId="13" fillId="0" borderId="0" xfId="0" applyFont="1" applyAlignment="1">
      <alignment horizontal="center" vertical="top"/>
    </xf>
    <xf numFmtId="165" fontId="17" fillId="8" borderId="14" xfId="0" applyNumberFormat="1" applyFont="1" applyFill="1" applyBorder="1" applyAlignment="1">
      <alignment horizontal="center" vertical="top"/>
    </xf>
    <xf numFmtId="165" fontId="16" fillId="12" borderId="15" xfId="0" applyNumberFormat="1" applyFont="1" applyFill="1" applyBorder="1" applyAlignment="1">
      <alignment horizontal="center" vertical="top" wrapText="1"/>
    </xf>
    <xf numFmtId="165" fontId="16" fillId="12" borderId="1" xfId="0" applyNumberFormat="1" applyFont="1" applyFill="1" applyBorder="1" applyAlignment="1">
      <alignment horizontal="center" vertical="top" wrapText="1"/>
    </xf>
    <xf numFmtId="164" fontId="16" fillId="12" borderId="1" xfId="1" applyFont="1" applyFill="1" applyBorder="1" applyAlignment="1">
      <alignment horizontal="center" vertical="top" wrapText="1"/>
    </xf>
    <xf numFmtId="165" fontId="16" fillId="8" borderId="1" xfId="0" applyNumberFormat="1" applyFont="1" applyFill="1" applyBorder="1" applyAlignment="1">
      <alignment horizontal="center" vertical="top" wrapText="1"/>
    </xf>
    <xf numFmtId="165" fontId="13" fillId="0" borderId="1" xfId="0" applyNumberFormat="1" applyFont="1" applyBorder="1" applyAlignment="1">
      <alignment horizontal="left" vertical="top"/>
    </xf>
    <xf numFmtId="169" fontId="18" fillId="0" borderId="1" xfId="0" applyNumberFormat="1" applyFont="1" applyBorder="1" applyAlignment="1">
      <alignment vertical="top"/>
    </xf>
    <xf numFmtId="3" fontId="18" fillId="0" borderId="1" xfId="0" applyNumberFormat="1" applyFont="1" applyBorder="1" applyAlignment="1">
      <alignment vertical="top"/>
    </xf>
    <xf numFmtId="165" fontId="13" fillId="0" borderId="1" xfId="0" applyNumberFormat="1" applyFont="1" applyBorder="1" applyAlignment="1">
      <alignment vertical="top"/>
    </xf>
    <xf numFmtId="165" fontId="13" fillId="0" borderId="1" xfId="0" applyNumberFormat="1" applyFont="1" applyBorder="1" applyAlignment="1">
      <alignment horizontal="right" vertical="top"/>
    </xf>
    <xf numFmtId="165" fontId="13" fillId="0" borderId="8" xfId="0" applyNumberFormat="1" applyFont="1" applyBorder="1" applyAlignment="1">
      <alignment horizontal="right" vertical="top"/>
    </xf>
    <xf numFmtId="10" fontId="13" fillId="0" borderId="1" xfId="0" applyNumberFormat="1" applyFont="1" applyBorder="1" applyAlignment="1">
      <alignment vertical="top"/>
    </xf>
    <xf numFmtId="164" fontId="13" fillId="0" borderId="1" xfId="1" applyFont="1" applyFill="1" applyBorder="1" applyAlignment="1">
      <alignment vertical="top"/>
    </xf>
    <xf numFmtId="165" fontId="13" fillId="0" borderId="1" xfId="0" applyNumberFormat="1" applyFont="1" applyBorder="1" applyAlignment="1">
      <alignment horizontal="center" vertical="top"/>
    </xf>
    <xf numFmtId="165" fontId="13" fillId="0" borderId="16" xfId="0" applyNumberFormat="1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9" fillId="18" borderId="17" xfId="0" applyFont="1" applyFill="1" applyBorder="1" applyAlignment="1">
      <alignment wrapText="1"/>
    </xf>
    <xf numFmtId="0" fontId="19" fillId="18" borderId="18" xfId="0" applyFont="1" applyFill="1" applyBorder="1"/>
    <xf numFmtId="0" fontId="19" fillId="18" borderId="18" xfId="0" applyFont="1" applyFill="1" applyBorder="1" applyAlignment="1">
      <alignment wrapText="1"/>
    </xf>
    <xf numFmtId="0" fontId="19" fillId="0" borderId="0" xfId="0" applyFont="1"/>
    <xf numFmtId="14" fontId="19" fillId="0" borderId="0" xfId="0" applyNumberFormat="1" applyFont="1"/>
    <xf numFmtId="4" fontId="19" fillId="0" borderId="0" xfId="0" applyNumberFormat="1" applyFont="1"/>
    <xf numFmtId="0" fontId="19" fillId="7" borderId="0" xfId="0" applyFont="1" applyFill="1"/>
    <xf numFmtId="0" fontId="19" fillId="7" borderId="18" xfId="0" applyFont="1" applyFill="1" applyBorder="1"/>
    <xf numFmtId="164" fontId="19" fillId="0" borderId="0" xfId="0" applyNumberFormat="1" applyFont="1"/>
    <xf numFmtId="164" fontId="3" fillId="0" borderId="0" xfId="0" applyNumberFormat="1" applyFont="1" applyAlignment="1">
      <alignment horizontal="center" vertical="top"/>
    </xf>
    <xf numFmtId="165" fontId="3" fillId="0" borderId="16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center" vertical="top"/>
    </xf>
    <xf numFmtId="168" fontId="6" fillId="0" borderId="1" xfId="0" applyNumberFormat="1" applyFont="1" applyBorder="1" applyAlignment="1">
      <alignment horizontal="right" vertical="top"/>
    </xf>
    <xf numFmtId="168" fontId="3" fillId="0" borderId="2" xfId="0" applyNumberFormat="1" applyFont="1" applyBorder="1" applyAlignment="1">
      <alignment horizontal="right" vertical="top" wrapText="1"/>
    </xf>
    <xf numFmtId="168" fontId="3" fillId="0" borderId="2" xfId="0" applyNumberFormat="1" applyFont="1" applyBorder="1" applyAlignment="1">
      <alignment horizontal="left"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16" fillId="19" borderId="19" xfId="0" applyFont="1" applyFill="1" applyBorder="1" applyAlignment="1">
      <alignment horizontal="center" vertical="top" wrapText="1"/>
    </xf>
    <xf numFmtId="0" fontId="16" fillId="19" borderId="20" xfId="0" applyFont="1" applyFill="1" applyBorder="1" applyAlignment="1">
      <alignment horizontal="center" vertical="top" wrapText="1"/>
    </xf>
    <xf numFmtId="165" fontId="16" fillId="8" borderId="21" xfId="0" applyNumberFormat="1" applyFont="1" applyFill="1" applyBorder="1" applyAlignment="1">
      <alignment horizontal="center" vertical="top" wrapText="1"/>
    </xf>
    <xf numFmtId="0" fontId="22" fillId="0" borderId="22" xfId="0" applyFont="1" applyBorder="1" applyAlignment="1">
      <alignment vertical="top"/>
    </xf>
    <xf numFmtId="165" fontId="22" fillId="0" borderId="2" xfId="0" applyNumberFormat="1" applyFont="1" applyBorder="1" applyAlignment="1">
      <alignment horizontal="right" vertical="top"/>
    </xf>
    <xf numFmtId="165" fontId="23" fillId="0" borderId="2" xfId="0" applyNumberFormat="1" applyFont="1" applyBorder="1" applyAlignment="1">
      <alignment vertical="top"/>
    </xf>
    <xf numFmtId="165" fontId="22" fillId="0" borderId="23" xfId="0" applyNumberFormat="1" applyFont="1" applyBorder="1" applyAlignment="1">
      <alignment vertical="top"/>
    </xf>
    <xf numFmtId="165" fontId="22" fillId="0" borderId="1" xfId="0" applyNumberFormat="1" applyFont="1" applyBorder="1" applyAlignment="1">
      <alignment horizontal="right" vertical="top"/>
    </xf>
    <xf numFmtId="165" fontId="23" fillId="0" borderId="1" xfId="0" applyNumberFormat="1" applyFont="1" applyBorder="1" applyAlignment="1">
      <alignment vertical="top"/>
    </xf>
    <xf numFmtId="165" fontId="22" fillId="0" borderId="15" xfId="0" applyNumberFormat="1" applyFont="1" applyBorder="1" applyAlignment="1">
      <alignment horizontal="right" vertical="top"/>
    </xf>
    <xf numFmtId="165" fontId="23" fillId="0" borderId="15" xfId="0" applyNumberFormat="1" applyFont="1" applyBorder="1" applyAlignment="1">
      <alignment vertical="top"/>
    </xf>
    <xf numFmtId="0" fontId="25" fillId="0" borderId="19" xfId="0" applyFont="1" applyBorder="1" applyAlignment="1">
      <alignment wrapText="1"/>
    </xf>
    <xf numFmtId="165" fontId="22" fillId="0" borderId="20" xfId="0" applyNumberFormat="1" applyFont="1" applyBorder="1" applyAlignment="1">
      <alignment horizontal="right" vertical="top"/>
    </xf>
    <xf numFmtId="165" fontId="22" fillId="0" borderId="21" xfId="0" applyNumberFormat="1" applyFont="1" applyBorder="1" applyAlignment="1">
      <alignment horizontal="right" vertical="top"/>
    </xf>
    <xf numFmtId="9" fontId="9" fillId="0" borderId="0" xfId="0" applyNumberFormat="1" applyFont="1" applyAlignment="1">
      <alignment vertical="top"/>
    </xf>
    <xf numFmtId="9" fontId="12" fillId="0" borderId="0" xfId="0" applyNumberFormat="1" applyFont="1" applyAlignment="1">
      <alignment vertical="top"/>
    </xf>
    <xf numFmtId="0" fontId="7" fillId="20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/>
    </xf>
    <xf numFmtId="170" fontId="5" fillId="0" borderId="1" xfId="1" applyNumberFormat="1" applyFont="1" applyBorder="1" applyAlignment="1">
      <alignment vertical="top"/>
    </xf>
    <xf numFmtId="0" fontId="7" fillId="0" borderId="26" xfId="0" applyFont="1" applyBorder="1" applyAlignment="1">
      <alignment vertical="top" wrapText="1"/>
    </xf>
    <xf numFmtId="165" fontId="7" fillId="0" borderId="27" xfId="0" applyNumberFormat="1" applyFont="1" applyBorder="1" applyAlignment="1">
      <alignment vertical="top"/>
    </xf>
    <xf numFmtId="0" fontId="7" fillId="19" borderId="28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 wrapText="1"/>
    </xf>
    <xf numFmtId="0" fontId="5" fillId="0" borderId="22" xfId="0" applyFont="1" applyBorder="1" applyAlignment="1">
      <alignment vertical="top"/>
    </xf>
    <xf numFmtId="3" fontId="5" fillId="0" borderId="2" xfId="0" applyNumberFormat="1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3" fontId="7" fillId="0" borderId="30" xfId="0" applyNumberFormat="1" applyFont="1" applyBorder="1" applyAlignment="1">
      <alignment vertical="top"/>
    </xf>
    <xf numFmtId="165" fontId="13" fillId="0" borderId="15" xfId="0" applyNumberFormat="1" applyFont="1" applyBorder="1" applyAlignment="1">
      <alignment horizontal="left" vertical="top"/>
    </xf>
    <xf numFmtId="169" fontId="18" fillId="0" borderId="15" xfId="0" applyNumberFormat="1" applyFont="1" applyBorder="1" applyAlignment="1">
      <alignment vertical="top"/>
    </xf>
    <xf numFmtId="3" fontId="18" fillId="0" borderId="15" xfId="0" applyNumberFormat="1" applyFont="1" applyBorder="1" applyAlignment="1">
      <alignment vertical="top"/>
    </xf>
    <xf numFmtId="165" fontId="13" fillId="0" borderId="15" xfId="0" applyNumberFormat="1" applyFont="1" applyBorder="1" applyAlignment="1">
      <alignment vertical="top"/>
    </xf>
    <xf numFmtId="165" fontId="13" fillId="0" borderId="15" xfId="0" applyNumberFormat="1" applyFont="1" applyBorder="1" applyAlignment="1">
      <alignment horizontal="right" vertical="top"/>
    </xf>
    <xf numFmtId="10" fontId="13" fillId="0" borderId="15" xfId="0" applyNumberFormat="1" applyFont="1" applyBorder="1" applyAlignment="1">
      <alignment vertical="top"/>
    </xf>
    <xf numFmtId="164" fontId="13" fillId="0" borderId="15" xfId="1" applyFont="1" applyFill="1" applyBorder="1" applyAlignment="1">
      <alignment vertical="top"/>
    </xf>
    <xf numFmtId="165" fontId="13" fillId="0" borderId="15" xfId="0" applyNumberFormat="1" applyFont="1" applyBorder="1" applyAlignment="1">
      <alignment horizontal="center" vertical="top"/>
    </xf>
    <xf numFmtId="165" fontId="13" fillId="0" borderId="14" xfId="0" applyNumberFormat="1" applyFont="1" applyBorder="1" applyAlignment="1">
      <alignment vertical="top"/>
    </xf>
    <xf numFmtId="0" fontId="2" fillId="0" borderId="0" xfId="0" applyFont="1"/>
    <xf numFmtId="3" fontId="2" fillId="0" borderId="13" xfId="0" applyNumberFormat="1" applyFont="1" applyBorder="1"/>
    <xf numFmtId="0" fontId="2" fillId="0" borderId="13" xfId="0" applyFont="1" applyBorder="1"/>
    <xf numFmtId="0" fontId="3" fillId="0" borderId="12" xfId="0" applyFont="1" applyBorder="1" applyAlignment="1">
      <alignment vertical="top"/>
    </xf>
    <xf numFmtId="168" fontId="3" fillId="0" borderId="12" xfId="0" applyNumberFormat="1" applyFont="1" applyBorder="1" applyAlignment="1">
      <alignment horizontal="left" vertical="top"/>
    </xf>
    <xf numFmtId="1" fontId="3" fillId="0" borderId="12" xfId="0" applyNumberFormat="1" applyFont="1" applyBorder="1" applyAlignment="1">
      <alignment vertical="top"/>
    </xf>
    <xf numFmtId="168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165" fontId="5" fillId="0" borderId="12" xfId="0" applyNumberFormat="1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2" fillId="0" borderId="13" xfId="0" applyFont="1" applyBorder="1" applyAlignment="1">
      <alignment vertical="top"/>
    </xf>
    <xf numFmtId="165" fontId="2" fillId="0" borderId="13" xfId="0" applyNumberFormat="1" applyFont="1" applyBorder="1" applyAlignment="1">
      <alignment vertical="top"/>
    </xf>
    <xf numFmtId="9" fontId="6" fillId="0" borderId="15" xfId="0" applyNumberFormat="1" applyFont="1" applyBorder="1" applyAlignment="1">
      <alignment horizontal="center" vertical="top"/>
    </xf>
    <xf numFmtId="9" fontId="5" fillId="0" borderId="15" xfId="0" applyNumberFormat="1" applyFont="1" applyBorder="1" applyAlignment="1">
      <alignment vertical="top"/>
    </xf>
    <xf numFmtId="168" fontId="6" fillId="0" borderId="15" xfId="0" applyNumberFormat="1" applyFont="1" applyBorder="1" applyAlignment="1">
      <alignment horizontal="right" vertical="top"/>
    </xf>
    <xf numFmtId="1" fontId="6" fillId="0" borderId="15" xfId="0" applyNumberFormat="1" applyFont="1" applyBorder="1" applyAlignment="1">
      <alignment horizontal="right" vertical="top"/>
    </xf>
    <xf numFmtId="1" fontId="3" fillId="0" borderId="15" xfId="0" applyNumberFormat="1" applyFont="1" applyBorder="1" applyAlignment="1">
      <alignment horizontal="right" vertical="top"/>
    </xf>
    <xf numFmtId="165" fontId="6" fillId="0" borderId="15" xfId="0" applyNumberFormat="1" applyFont="1" applyBorder="1" applyAlignment="1">
      <alignment horizontal="right" vertical="top"/>
    </xf>
    <xf numFmtId="2" fontId="6" fillId="0" borderId="15" xfId="0" applyNumberFormat="1" applyFont="1" applyBorder="1" applyAlignment="1">
      <alignment vertical="top"/>
    </xf>
    <xf numFmtId="165" fontId="6" fillId="0" borderId="15" xfId="0" applyNumberFormat="1" applyFont="1" applyBorder="1" applyAlignment="1">
      <alignment vertical="top"/>
    </xf>
    <xf numFmtId="166" fontId="6" fillId="0" borderId="15" xfId="0" applyNumberFormat="1" applyFont="1" applyBorder="1" applyAlignment="1">
      <alignment vertical="top"/>
    </xf>
    <xf numFmtId="167" fontId="3" fillId="0" borderId="15" xfId="1" applyNumberFormat="1" applyFont="1" applyBorder="1" applyAlignment="1">
      <alignment horizontal="right" vertical="top"/>
    </xf>
    <xf numFmtId="165" fontId="2" fillId="0" borderId="13" xfId="0" applyNumberFormat="1" applyFont="1" applyBorder="1"/>
    <xf numFmtId="0" fontId="25" fillId="0" borderId="0" xfId="0" applyFont="1" applyAlignment="1">
      <alignment wrapText="1"/>
    </xf>
    <xf numFmtId="165" fontId="22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vertical="top"/>
    </xf>
    <xf numFmtId="165" fontId="6" fillId="0" borderId="2" xfId="1" applyNumberFormat="1" applyFont="1" applyBorder="1" applyAlignment="1">
      <alignment vertical="top" wrapText="1"/>
    </xf>
    <xf numFmtId="165" fontId="6" fillId="0" borderId="2" xfId="1" applyNumberFormat="1" applyFont="1" applyFill="1" applyBorder="1" applyAlignment="1">
      <alignment vertical="top" wrapText="1"/>
    </xf>
    <xf numFmtId="165" fontId="17" fillId="17" borderId="15" xfId="0" applyNumberFormat="1" applyFont="1" applyFill="1" applyBorder="1" applyAlignment="1">
      <alignment horizontal="center" vertical="top"/>
    </xf>
    <xf numFmtId="10" fontId="0" fillId="0" borderId="0" xfId="0" applyNumberFormat="1" applyAlignment="1">
      <alignment vertical="top"/>
    </xf>
    <xf numFmtId="171" fontId="0" fillId="0" borderId="0" xfId="0" applyNumberFormat="1" applyAlignment="1">
      <alignment vertical="top"/>
    </xf>
    <xf numFmtId="0" fontId="27" fillId="0" borderId="1" xfId="0" applyFont="1" applyBorder="1" applyAlignment="1">
      <alignment horizontal="center" vertical="top"/>
    </xf>
    <xf numFmtId="172" fontId="3" fillId="0" borderId="1" xfId="0" applyNumberFormat="1" applyFont="1" applyBorder="1" applyAlignment="1">
      <alignment horizontal="left" vertical="top"/>
    </xf>
    <xf numFmtId="3" fontId="13" fillId="0" borderId="0" xfId="0" applyNumberFormat="1" applyFont="1" applyAlignment="1">
      <alignment vertical="top"/>
    </xf>
    <xf numFmtId="0" fontId="18" fillId="0" borderId="1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14" fontId="16" fillId="12" borderId="12" xfId="0" applyNumberFormat="1" applyFont="1" applyFill="1" applyBorder="1" applyAlignment="1">
      <alignment horizontal="center" vertical="top" wrapText="1"/>
    </xf>
    <xf numFmtId="165" fontId="16" fillId="12" borderId="12" xfId="0" applyNumberFormat="1" applyFont="1" applyFill="1" applyBorder="1" applyAlignment="1">
      <alignment horizontal="center" vertical="top" wrapText="1"/>
    </xf>
    <xf numFmtId="165" fontId="16" fillId="2" borderId="12" xfId="0" applyNumberFormat="1" applyFont="1" applyFill="1" applyBorder="1" applyAlignment="1">
      <alignment horizontal="center" vertical="top" wrapText="1"/>
    </xf>
    <xf numFmtId="168" fontId="13" fillId="0" borderId="1" xfId="0" applyNumberFormat="1" applyFont="1" applyBorder="1" applyAlignment="1">
      <alignment horizontal="center" vertical="top"/>
    </xf>
    <xf numFmtId="168" fontId="13" fillId="0" borderId="15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165" fontId="2" fillId="2" borderId="2" xfId="0" applyNumberFormat="1" applyFont="1" applyFill="1" applyBorder="1" applyAlignment="1">
      <alignment horizontal="center" vertical="top" wrapText="1"/>
    </xf>
    <xf numFmtId="167" fontId="7" fillId="10" borderId="2" xfId="1" applyNumberFormat="1" applyFont="1" applyFill="1" applyBorder="1" applyAlignment="1">
      <alignment horizontal="center" vertical="top" wrapText="1"/>
    </xf>
    <xf numFmtId="167" fontId="7" fillId="6" borderId="2" xfId="1" applyNumberFormat="1" applyFont="1" applyFill="1" applyBorder="1" applyAlignment="1">
      <alignment horizontal="center" vertical="top" wrapText="1"/>
    </xf>
    <xf numFmtId="165" fontId="28" fillId="0" borderId="2" xfId="0" applyNumberFormat="1" applyFont="1" applyBorder="1" applyAlignment="1">
      <alignment vertical="top" wrapText="1"/>
    </xf>
    <xf numFmtId="0" fontId="0" fillId="0" borderId="1" xfId="0" applyBorder="1"/>
    <xf numFmtId="165" fontId="6" fillId="0" borderId="16" xfId="0" applyNumberFormat="1" applyFont="1" applyBorder="1" applyAlignment="1">
      <alignment vertical="top"/>
    </xf>
    <xf numFmtId="165" fontId="6" fillId="0" borderId="8" xfId="0" applyNumberFormat="1" applyFont="1" applyBorder="1" applyAlignment="1">
      <alignment vertical="top"/>
    </xf>
    <xf numFmtId="164" fontId="26" fillId="7" borderId="1" xfId="0" applyNumberFormat="1" applyFont="1" applyFill="1" applyBorder="1" applyAlignment="1">
      <alignment vertical="top"/>
    </xf>
    <xf numFmtId="165" fontId="3" fillId="0" borderId="2" xfId="0" applyNumberFormat="1" applyFont="1" applyBorder="1" applyAlignment="1">
      <alignment horizontal="center" vertical="top"/>
    </xf>
    <xf numFmtId="164" fontId="29" fillId="0" borderId="1" xfId="0" applyNumberFormat="1" applyFont="1" applyBorder="1" applyAlignment="1">
      <alignment vertical="top"/>
    </xf>
    <xf numFmtId="9" fontId="26" fillId="0" borderId="15" xfId="0" applyNumberFormat="1" applyFont="1" applyBorder="1" applyAlignment="1">
      <alignment horizontal="center" vertical="top"/>
    </xf>
    <xf numFmtId="165" fontId="6" fillId="0" borderId="15" xfId="0" applyNumberFormat="1" applyFont="1" applyBorder="1" applyAlignment="1">
      <alignment vertical="center"/>
    </xf>
    <xf numFmtId="165" fontId="26" fillId="0" borderId="15" xfId="0" applyNumberFormat="1" applyFont="1" applyBorder="1" applyAlignment="1">
      <alignment vertical="center"/>
    </xf>
    <xf numFmtId="164" fontId="26" fillId="0" borderId="1" xfId="0" applyNumberFormat="1" applyFont="1" applyBorder="1" applyAlignment="1">
      <alignment horizontal="right" vertical="top"/>
    </xf>
    <xf numFmtId="0" fontId="30" fillId="12" borderId="1" xfId="0" applyFont="1" applyFill="1" applyBorder="1" applyAlignment="1">
      <alignment horizontal="center" vertical="top" wrapText="1"/>
    </xf>
    <xf numFmtId="165" fontId="26" fillId="0" borderId="1" xfId="0" applyNumberFormat="1" applyFont="1" applyBorder="1" applyAlignment="1">
      <alignment horizontal="left" vertical="top"/>
    </xf>
    <xf numFmtId="10" fontId="5" fillId="0" borderId="1" xfId="0" applyNumberFormat="1" applyFont="1" applyBorder="1"/>
    <xf numFmtId="165" fontId="26" fillId="0" borderId="16" xfId="0" applyNumberFormat="1" applyFont="1" applyBorder="1" applyAlignment="1">
      <alignment horizontal="left" vertical="top"/>
    </xf>
    <xf numFmtId="165" fontId="28" fillId="0" borderId="10" xfId="0" applyNumberFormat="1" applyFont="1" applyBorder="1"/>
    <xf numFmtId="165" fontId="5" fillId="0" borderId="1" xfId="0" applyNumberFormat="1" applyFont="1" applyBorder="1"/>
    <xf numFmtId="165" fontId="5" fillId="0" borderId="0" xfId="0" applyNumberFormat="1" applyFont="1"/>
    <xf numFmtId="0" fontId="5" fillId="0" borderId="15" xfId="0" applyFont="1" applyBorder="1"/>
    <xf numFmtId="0" fontId="15" fillId="0" borderId="9" xfId="0" applyFont="1" applyBorder="1" applyAlignment="1">
      <alignment wrapText="1"/>
    </xf>
    <xf numFmtId="165" fontId="7" fillId="0" borderId="37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10" fillId="19" borderId="19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vertical="top"/>
    </xf>
    <xf numFmtId="0" fontId="22" fillId="0" borderId="38" xfId="0" applyFont="1" applyBorder="1" applyAlignment="1">
      <alignment vertical="top"/>
    </xf>
    <xf numFmtId="0" fontId="31" fillId="0" borderId="41" xfId="0" applyFont="1" applyBorder="1" applyAlignment="1">
      <alignment vertical="top"/>
    </xf>
    <xf numFmtId="165" fontId="31" fillId="0" borderId="2" xfId="0" applyNumberFormat="1" applyFont="1" applyBorder="1" applyAlignment="1">
      <alignment horizontal="right" vertical="top"/>
    </xf>
    <xf numFmtId="165" fontId="31" fillId="0" borderId="23" xfId="0" applyNumberFormat="1" applyFont="1" applyBorder="1" applyAlignment="1">
      <alignment vertical="top"/>
    </xf>
    <xf numFmtId="164" fontId="10" fillId="3" borderId="1" xfId="0" applyNumberFormat="1" applyFont="1" applyFill="1" applyBorder="1" applyAlignment="1">
      <alignment vertical="top" wrapText="1"/>
    </xf>
    <xf numFmtId="165" fontId="3" fillId="7" borderId="1" xfId="0" applyNumberFormat="1" applyFont="1" applyFill="1" applyBorder="1" applyAlignment="1">
      <alignment horizontal="right" vertical="top"/>
    </xf>
    <xf numFmtId="165" fontId="3" fillId="7" borderId="16" xfId="0" applyNumberFormat="1" applyFont="1" applyFill="1" applyBorder="1" applyAlignment="1">
      <alignment horizontal="right" vertical="top"/>
    </xf>
    <xf numFmtId="0" fontId="32" fillId="0" borderId="0" xfId="0" applyFont="1"/>
    <xf numFmtId="0" fontId="33" fillId="21" borderId="42" xfId="0" applyFont="1" applyFill="1" applyBorder="1"/>
    <xf numFmtId="0" fontId="33" fillId="21" borderId="43" xfId="0" applyFont="1" applyFill="1" applyBorder="1"/>
    <xf numFmtId="0" fontId="33" fillId="21" borderId="44" xfId="0" applyFont="1" applyFill="1" applyBorder="1"/>
    <xf numFmtId="0" fontId="34" fillId="22" borderId="42" xfId="0" applyFont="1" applyFill="1" applyBorder="1"/>
    <xf numFmtId="0" fontId="34" fillId="22" borderId="43" xfId="0" applyFont="1" applyFill="1" applyBorder="1"/>
    <xf numFmtId="14" fontId="34" fillId="22" borderId="43" xfId="0" applyNumberFormat="1" applyFont="1" applyFill="1" applyBorder="1"/>
    <xf numFmtId="16" fontId="34" fillId="22" borderId="44" xfId="0" applyNumberFormat="1" applyFont="1" applyFill="1" applyBorder="1"/>
    <xf numFmtId="0" fontId="34" fillId="0" borderId="42" xfId="0" applyFont="1" applyBorder="1"/>
    <xf numFmtId="0" fontId="34" fillId="0" borderId="43" xfId="0" applyFont="1" applyBorder="1"/>
    <xf numFmtId="14" fontId="34" fillId="0" borderId="43" xfId="0" applyNumberFormat="1" applyFont="1" applyBorder="1"/>
    <xf numFmtId="16" fontId="34" fillId="0" borderId="44" xfId="0" applyNumberFormat="1" applyFont="1" applyBorder="1"/>
    <xf numFmtId="164" fontId="0" fillId="0" borderId="0" xfId="0" pivotButton="1" applyNumberFormat="1"/>
    <xf numFmtId="164" fontId="0" fillId="0" borderId="0" xfId="0" applyNumberFormat="1"/>
    <xf numFmtId="165" fontId="3" fillId="0" borderId="1" xfId="0" applyNumberFormat="1" applyFont="1" applyBorder="1" applyAlignment="1">
      <alignment horizontal="right" vertical="top" wrapText="1"/>
    </xf>
    <xf numFmtId="0" fontId="3" fillId="0" borderId="15" xfId="0" applyFont="1" applyBorder="1" applyAlignment="1">
      <alignment vertical="top"/>
    </xf>
    <xf numFmtId="0" fontId="3" fillId="0" borderId="15" xfId="0" applyFont="1" applyBorder="1" applyAlignment="1">
      <alignment horizontal="center" vertical="top"/>
    </xf>
    <xf numFmtId="14" fontId="3" fillId="0" borderId="15" xfId="0" applyNumberFormat="1" applyFont="1" applyBorder="1" applyAlignment="1">
      <alignment vertical="top"/>
    </xf>
    <xf numFmtId="164" fontId="3" fillId="0" borderId="15" xfId="0" applyNumberFormat="1" applyFont="1" applyBorder="1" applyAlignment="1">
      <alignment horizontal="center" vertical="top"/>
    </xf>
    <xf numFmtId="165" fontId="3" fillId="0" borderId="15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center" vertical="top"/>
    </xf>
    <xf numFmtId="165" fontId="3" fillId="0" borderId="15" xfId="0" applyNumberFormat="1" applyFont="1" applyBorder="1" applyAlignment="1">
      <alignment horizontal="center" vertical="top"/>
    </xf>
    <xf numFmtId="1" fontId="3" fillId="0" borderId="15" xfId="0" applyNumberFormat="1" applyFont="1" applyBorder="1" applyAlignment="1">
      <alignment vertical="top"/>
    </xf>
    <xf numFmtId="165" fontId="3" fillId="0" borderId="9" xfId="0" applyNumberFormat="1" applyFont="1" applyBorder="1" applyAlignment="1">
      <alignment horizontal="center" vertical="top"/>
    </xf>
    <xf numFmtId="0" fontId="5" fillId="0" borderId="45" xfId="0" applyFont="1" applyBorder="1" applyAlignment="1">
      <alignment vertical="top"/>
    </xf>
    <xf numFmtId="1" fontId="3" fillId="0" borderId="1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 vertical="top"/>
    </xf>
    <xf numFmtId="172" fontId="3" fillId="0" borderId="2" xfId="0" applyNumberFormat="1" applyFont="1" applyBorder="1" applyAlignment="1">
      <alignment horizontal="left" vertical="top"/>
    </xf>
    <xf numFmtId="172" fontId="3" fillId="0" borderId="2" xfId="0" applyNumberFormat="1" applyFont="1" applyBorder="1" applyAlignment="1">
      <alignment horizontal="right" vertical="top" wrapText="1"/>
    </xf>
    <xf numFmtId="165" fontId="17" fillId="17" borderId="16" xfId="0" applyNumberFormat="1" applyFont="1" applyFill="1" applyBorder="1" applyAlignment="1">
      <alignment horizontal="center" vertical="top"/>
    </xf>
    <xf numFmtId="165" fontId="17" fillId="17" borderId="8" xfId="0" applyNumberFormat="1" applyFont="1" applyFill="1" applyBorder="1" applyAlignment="1">
      <alignment horizontal="center" vertical="top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16" fillId="14" borderId="1" xfId="0" applyNumberFormat="1" applyFont="1" applyFill="1" applyBorder="1" applyAlignment="1">
      <alignment horizontal="center" vertical="top"/>
    </xf>
    <xf numFmtId="3" fontId="16" fillId="15" borderId="34" xfId="0" applyNumberFormat="1" applyFont="1" applyFill="1" applyBorder="1" applyAlignment="1">
      <alignment horizontal="center" vertical="top"/>
    </xf>
    <xf numFmtId="3" fontId="16" fillId="15" borderId="8" xfId="0" applyNumberFormat="1" applyFont="1" applyFill="1" applyBorder="1" applyAlignment="1">
      <alignment horizontal="center" vertical="top"/>
    </xf>
    <xf numFmtId="3" fontId="16" fillId="16" borderId="16" xfId="0" applyNumberFormat="1" applyFont="1" applyFill="1" applyBorder="1" applyAlignment="1">
      <alignment horizontal="center" vertical="top"/>
    </xf>
    <xf numFmtId="3" fontId="16" fillId="16" borderId="34" xfId="0" applyNumberFormat="1" applyFont="1" applyFill="1" applyBorder="1" applyAlignment="1">
      <alignment horizontal="center" vertical="top"/>
    </xf>
    <xf numFmtId="3" fontId="16" fillId="16" borderId="8" xfId="0" applyNumberFormat="1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1" fillId="11" borderId="32" xfId="0" applyFont="1" applyFill="1" applyBorder="1" applyAlignment="1">
      <alignment horizontal="center" vertical="top"/>
    </xf>
    <xf numFmtId="0" fontId="11" fillId="11" borderId="33" xfId="0" applyFont="1" applyFill="1" applyBorder="1" applyAlignment="1">
      <alignment horizontal="center" vertical="top"/>
    </xf>
    <xf numFmtId="167" fontId="11" fillId="9" borderId="1" xfId="1" applyNumberFormat="1" applyFont="1" applyFill="1" applyBorder="1" applyAlignment="1">
      <alignment horizontal="center" vertical="top"/>
    </xf>
    <xf numFmtId="0" fontId="24" fillId="0" borderId="38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11" fillId="11" borderId="7" xfId="0" applyFont="1" applyFill="1" applyBorder="1" applyAlignment="1">
      <alignment horizontal="center" vertical="top"/>
    </xf>
    <xf numFmtId="167" fontId="11" fillId="9" borderId="7" xfId="1" applyNumberFormat="1" applyFont="1" applyFill="1" applyBorder="1" applyAlignment="1">
      <alignment horizontal="center" vertical="top"/>
    </xf>
    <xf numFmtId="0" fontId="9" fillId="8" borderId="5" xfId="0" applyFont="1" applyFill="1" applyBorder="1" applyAlignment="1">
      <alignment horizontal="center" vertical="top"/>
    </xf>
    <xf numFmtId="0" fontId="9" fillId="8" borderId="6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165.711246064813" createdVersion="8" refreshedVersion="8" minRefreshableVersion="3" recordCount="139">
  <cacheSource type="worksheet">
    <worksheetSource ref="A1:J140" sheet="Sheet3"/>
  </cacheSource>
  <cacheFields count="10">
    <cacheField name="Description" numFmtId="0">
      <sharedItems/>
    </cacheField>
    <cacheField name="Amount" numFmtId="0">
      <sharedItems containsSemiMixedTypes="0" containsString="0" containsNumber="1" minValue="45" maxValue="64889972.920000002"/>
    </cacheField>
    <cacheField name="C.D.Falg" numFmtId="0">
      <sharedItems/>
    </cacheField>
    <cacheField name="Reference No" numFmtId="0">
      <sharedItems count="93">
        <s v="469BC89253450002"/>
        <s v="469BC89253430003"/>
        <s v="469BC89253390002"/>
        <s v="469BC89253390001"/>
        <s v="469BC89253430007"/>
        <s v="469BC89260350001"/>
        <s v="469BC89253460001"/>
        <s v="014LCEX260910002"/>
        <s v="014LCEX260920001"/>
        <s v="469BC73260920020"/>
        <s v="469BC04260090002"/>
        <s v="469BC89260890006"/>
        <s v="014LCEX260920018"/>
        <s v="014LCEX253590021"/>
        <s v="469BC04260090001"/>
        <s v="469BC89260860007"/>
        <s v="469BC73260940004"/>
        <s v="469BC04260150002"/>
        <s v="469BC89260090006"/>
        <s v="469BC89260500003"/>
        <s v="469BC73260970007"/>
        <s v="469BC04260150003"/>
        <s v="469BC04260150013"/>
        <s v="469BC04260190010"/>
        <s v="469BC63260990003"/>
        <s v="469BC73260990003"/>
        <s v="469BC63260990002"/>
        <s v="469BC04260150005"/>
        <s v="469BC04260150007"/>
        <s v="469BC04260150009"/>
        <s v="469BC04260150011"/>
        <s v="469BC89261030010"/>
        <s v="469BC89261030011"/>
        <s v="469BC89261030007"/>
        <s v="469BC89261030003"/>
        <s v="469BC89260470003"/>
        <s v="469BC89260470004"/>
        <s v="469BC89261030001"/>
        <s v="469BC04260200003"/>
        <s v="469BC89253540002"/>
        <s v="014LCEX261010002"/>
        <s v="469BC04260170003"/>
        <s v="469BC04260200005"/>
        <s v="469BC89253560001"/>
        <s v="469BC89260190002"/>
        <s v="469BC89260220005"/>
        <s v="469BC04260210002"/>
        <s v="469BC89261060003"/>
        <s v="469BC89260560004"/>
        <s v="469BC89260510001"/>
        <s v="469BC89261060002"/>
        <s v="469BC89261060001"/>
        <s v="469BC04260210003"/>
        <s v="469BC89261070002"/>
        <s v="469BC89260280004"/>
        <s v="469BC89261070001"/>
        <s v="469LC03261070002"/>
        <s v="469BC04260210004"/>
        <s v="469BC04260270003"/>
        <s v="469BC04260270002"/>
        <s v="469BC04260280004"/>
        <s v="469BC89261100007"/>
        <s v="469BC89261100006"/>
        <s v="469BC89261100003"/>
        <s v="469BC89261100002"/>
        <s v="469BC89261100005"/>
        <s v="469BC89261100004"/>
        <s v="469BC04260280003"/>
        <s v="469BC04260280002"/>
        <s v="469BC89260290005"/>
        <s v="469BC89261110008"/>
        <s v="469BC89261110006"/>
        <s v="469BC89261110009"/>
        <s v="469BC89261130003"/>
        <s v="469BC89260650003"/>
        <s v="014LCEX261130002"/>
        <s v="469BC89261130001"/>
        <s v="469BC04260290006"/>
        <s v="469BC89261140007"/>
        <s v="469BC89261140003"/>
        <s v="469BC89261140010"/>
        <s v="469BC89261140009"/>
        <s v="469BC89261140008"/>
        <s v="469BC04260300009"/>
        <s v="469BC89260630001"/>
        <s v="469BC89260650002"/>
        <s v="469BC89261170007"/>
        <s v="469BC04260350004"/>
        <s v="469BC04260330001"/>
        <s v="469BC89260360013"/>
        <s v="469BC89261180001"/>
        <s v="014LCEX261180044"/>
        <s v="469BC89261200004"/>
      </sharedItems>
    </cacheField>
    <cacheField name="Value Date" numFmtId="0">
      <sharedItems containsDate="1" containsMixedTypes="1" minDate="2026-01-04T00:00:00" maxDate="2026-10-05T00:00:00"/>
    </cacheField>
    <cacheField name="Branch Name" numFmtId="0">
      <sharedItems/>
    </cacheField>
    <cacheField name="Net Amount" numFmtId="0">
      <sharedItems containsSemiMixedTypes="0" containsString="0" containsNumber="1" minValue="-14435766" maxValue="64889972.920000002"/>
    </cacheField>
    <cacheField name="LC Bank Description.1" numFmtId="0">
      <sharedItems/>
    </cacheField>
    <cacheField name="Type" numFmtId="0">
      <sharedItems/>
    </cacheField>
    <cacheField name="Month" numFmtId="16">
      <sharedItems containsSemiMixedTypes="0" containsNonDate="0" containsDate="1" containsString="0" minDate="2026-04-26T00:00:00" maxDate="2026-04-2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CORRESPONDENT BANK CHARGES"/>
    <n v="12964.66"/>
    <s v="D"/>
    <x v="0"/>
    <d v="2026-01-04T00:00:00"/>
    <s v="BHOWANIPORE"/>
    <n v="-12964.66"/>
    <s v="CORRESPONDENT BANK CHARGES"/>
    <s v="Sales"/>
    <d v="2026-04-26T00:00:00"/>
  </r>
  <r>
    <s v="CORRESPONDENT BANK CHARGES"/>
    <n v="12964.66"/>
    <s v="D"/>
    <x v="1"/>
    <d v="2026-01-04T00:00:00"/>
    <s v="BHOWANIPORE"/>
    <n v="-12964.66"/>
    <s v="CORRESPONDENT BANK CHARGES"/>
    <s v="Sales"/>
    <d v="2026-04-26T00:00:00"/>
  </r>
  <r>
    <s v="CORRESPONDENT BANK CHARGES"/>
    <n v="12964.66"/>
    <s v="D"/>
    <x v="2"/>
    <d v="2026-01-04T00:00:00"/>
    <s v="BHOWANIPORE"/>
    <n v="-12964.66"/>
    <s v="CORRESPONDENT BANK CHARGES"/>
    <s v="Sales"/>
    <d v="2026-04-26T00:00:00"/>
  </r>
  <r>
    <s v="CORRESPONDENT BANK CHARGES"/>
    <n v="12964.66"/>
    <s v="D"/>
    <x v="3"/>
    <d v="2026-01-04T00:00:00"/>
    <s v="BHOWANIPORE"/>
    <n v="-12964.66"/>
    <s v="CORRESPONDENT BANK CHARGES"/>
    <s v="Sales"/>
    <d v="2026-04-26T00:00:00"/>
  </r>
  <r>
    <s v="CORRESPONDENT BANK CHARGES"/>
    <n v="12964.66"/>
    <s v="D"/>
    <x v="4"/>
    <d v="2026-01-04T00:00:00"/>
    <s v="BHOWANIPORE"/>
    <n v="-12964.66"/>
    <s v="CORRESPONDENT BANK CHARGES"/>
    <s v="Sales"/>
    <d v="2026-04-26T00:00:00"/>
  </r>
  <r>
    <s v="CORRESPONDENT BANK CHARGES"/>
    <n v="12964.66"/>
    <s v="D"/>
    <x v="5"/>
    <d v="2026-01-04T00:00:00"/>
    <s v="BHOWANIPORE"/>
    <n v="-12964.66"/>
    <s v="CORRESPONDENT BANK CHARGES"/>
    <s v="Sales"/>
    <d v="2026-04-26T00:00:00"/>
  </r>
  <r>
    <s v="CORRESPONDENT BANK CHARGES"/>
    <n v="15381.8"/>
    <s v="D"/>
    <x v="6"/>
    <d v="2026-01-04T00:00:00"/>
    <s v="BHOWANIPORE"/>
    <n v="-15381.8"/>
    <s v="CORRESPONDENT BANK CHARGES"/>
    <s v="Sales"/>
    <d v="2026-04-26T00:00:00"/>
  </r>
  <r>
    <s v="GST ON COMMISSION AND CHARGE"/>
    <n v="45"/>
    <s v="D"/>
    <x v="0"/>
    <d v="2026-02-04T00:00:00"/>
    <s v="BHOWANIPORE"/>
    <n v="-45"/>
    <s v="GST ON COMMISSION AND CHARGE"/>
    <s v="GST"/>
    <d v="2026-04-26T00:00:00"/>
  </r>
  <r>
    <s v="GST ON COMMISSION AND CHARGE"/>
    <n v="45"/>
    <s v="D"/>
    <x v="2"/>
    <d v="2026-02-04T00:00:00"/>
    <s v="BHOWANIPORE"/>
    <n v="-45"/>
    <s v="GST ON COMMISSION AND CHARGE"/>
    <s v="GST"/>
    <d v="2026-04-26T00:00:00"/>
  </r>
  <r>
    <s v="GST ON COMMISSION AND CHARGE"/>
    <n v="45"/>
    <s v="D"/>
    <x v="3"/>
    <d v="2026-02-04T00:00:00"/>
    <s v="BHOWANIPORE"/>
    <n v="-45"/>
    <s v="GST ON COMMISSION AND CHARGE"/>
    <s v="GST"/>
    <d v="2026-04-26T00:00:00"/>
  </r>
  <r>
    <s v="LC ADVISING COMMISSION"/>
    <n v="1770"/>
    <s v="D"/>
    <x v="7"/>
    <d v="2026-02-04T00:00:00"/>
    <s v="CENTRALPLAZA-KOLKATA"/>
    <n v="-1770"/>
    <s v="LC ADVISING COMMISSION"/>
    <s v="Issuance"/>
    <d v="2026-04-26T00:00:00"/>
  </r>
  <r>
    <s v="LC ADVISING COMMISSION"/>
    <n v="1770"/>
    <s v="D"/>
    <x v="8"/>
    <d v="2026-02-04T00:00:00"/>
    <s v="CENTRALPLAZA-KOLKATA"/>
    <n v="-1770"/>
    <s v="LC ADVISING COMMISSION"/>
    <s v="Issuance"/>
    <d v="2026-04-26T00:00:00"/>
  </r>
  <r>
    <s v="GST ON COMMISSION AND CHARGE"/>
    <n v="45"/>
    <s v="D"/>
    <x v="1"/>
    <d v="2026-02-04T00:00:00"/>
    <s v="BHOWANIPORE"/>
    <n v="-45"/>
    <s v="GST ON COMMISSION AND CHARGE"/>
    <s v="GST"/>
    <d v="2026-04-26T00:00:00"/>
  </r>
  <r>
    <s v="COMM ON EXPORT COLL BILL"/>
    <n v="2360"/>
    <s v="D"/>
    <x v="9"/>
    <d v="2026-02-04T00:00:00"/>
    <s v="BHOWANIPORE"/>
    <n v="-2360"/>
    <s v="COMM ON EXPORT COLL BILL"/>
    <s v="Sales"/>
    <d v="2026-04-26T00:00:00"/>
  </r>
  <r>
    <s v="LIQUIDATION OF LOCAL BILL UNDER LC"/>
    <n v="3422672"/>
    <s v="D"/>
    <x v="10"/>
    <d v="2026-02-04T00:00:00"/>
    <s v="BHOWANIPORE"/>
    <n v="-3422672"/>
    <s v="LIQUIDATION OF LOCAL BILL UNDER LC"/>
    <s v="Sales"/>
    <d v="2026-04-26T00:00:00"/>
  </r>
  <r>
    <s v="BILLS DISCOUNTED"/>
    <n v="16469529.76"/>
    <s v="C"/>
    <x v="11"/>
    <d v="2026-02-04T00:00:00"/>
    <s v="BHOWANIPORE"/>
    <n v="16469529.76"/>
    <s v="BILLS DISCOUNTED"/>
    <s v="Sales"/>
    <d v="2026-04-26T00:00:00"/>
  </r>
  <r>
    <s v="GST ON COMMISSION AND CHARGE"/>
    <n v="45"/>
    <s v="D"/>
    <x v="4"/>
    <d v="2026-02-04T00:00:00"/>
    <s v="BHOWANIPORE"/>
    <n v="-45"/>
    <s v="GST ON COMMISSION AND CHARGE"/>
    <s v="GST"/>
    <d v="2026-04-26T00:00:00"/>
  </r>
  <r>
    <s v="GST ON COMMISSION AND CHARGE"/>
    <n v="45"/>
    <s v="D"/>
    <x v="6"/>
    <d v="2026-02-04T00:00:00"/>
    <s v="BHOWANIPORE"/>
    <n v="-45"/>
    <s v="GST ON COMMISSION AND CHARGE"/>
    <s v="GST"/>
    <d v="2026-04-26T00:00:00"/>
  </r>
  <r>
    <s v="GST ON COMMISSION AND CHARGE"/>
    <n v="45"/>
    <s v="D"/>
    <x v="5"/>
    <d v="2026-02-04T00:00:00"/>
    <s v="BHOWANIPORE"/>
    <n v="-45"/>
    <s v="GST ON COMMISSION AND CHARGE"/>
    <s v="GST"/>
    <d v="2026-04-26T00:00:00"/>
  </r>
  <r>
    <s v="LC ADVISING COMMISSION"/>
    <n v="1770"/>
    <s v="D"/>
    <x v="12"/>
    <d v="2026-04-04T00:00:00"/>
    <s v="CENTRALPLAZA-KOLKATA"/>
    <n v="-1770"/>
    <s v="LC ADVISING COMMISSION"/>
    <s v="Issuance"/>
    <d v="2026-04-26T00:00:00"/>
  </r>
  <r>
    <s v="COMM ON EXPORT LC AMENDMENT ADVISED"/>
    <n v="1180"/>
    <s v="D"/>
    <x v="13"/>
    <d v="2026-04-04T00:00:00"/>
    <s v="CENTRALPLAZA-KOLKATA"/>
    <n v="-1180"/>
    <s v="COMM ON EXPORT LC AMENDMENT ADVISED"/>
    <s v="Amendment"/>
    <d v="2026-04-26T00:00:00"/>
  </r>
  <r>
    <s v="LIQUIDATION OF LOCAL BILL UNDER LC"/>
    <n v="2164595"/>
    <s v="D"/>
    <x v="14"/>
    <d v="2026-04-04T00:00:00"/>
    <s v="BHOWANIPORE"/>
    <n v="-2164595"/>
    <s v="LIQUIDATION OF LOCAL BILL UNDER LC"/>
    <s v="Sales"/>
    <d v="2026-04-26T00:00:00"/>
  </r>
  <r>
    <s v="BILLS DISCOUNTED"/>
    <n v="29114794.34"/>
    <s v="C"/>
    <x v="15"/>
    <d v="2026-06-04T00:00:00"/>
    <s v="BHOWANIPORE"/>
    <n v="29114794.34"/>
    <s v="BILLS DISCOUNTED"/>
    <s v="Sales"/>
    <d v="2026-04-26T00:00:00"/>
  </r>
  <r>
    <s v="COMM ON EXPORT COLL BILL"/>
    <n v="2360"/>
    <s v="D"/>
    <x v="16"/>
    <d v="2026-06-04T00:00:00"/>
    <s v="BHOWANIPORE"/>
    <n v="-2360"/>
    <s v="COMM ON EXPORT COLL BILL"/>
    <s v="Sales"/>
    <d v="2026-04-26T00:00:00"/>
  </r>
  <r>
    <s v="LIQUIDATION OF LOCAL BILL UNDER LC"/>
    <n v="2409160"/>
    <s v="D"/>
    <x v="17"/>
    <d v="2026-06-04T00:00:00"/>
    <s v="BHOWANIPORE"/>
    <n v="-2409160"/>
    <s v="LIQUIDATION OF LOCAL BILL UNDER LC"/>
    <s v="Sales"/>
    <d v="2026-04-26T00:00:00"/>
  </r>
  <r>
    <s v="INTEREST ON LOCAL BILL DISCOUNTING"/>
    <n v="41645.14"/>
    <s v="C"/>
    <x v="18"/>
    <d v="2026-07-04T00:00:00"/>
    <s v="BHOWANIPORE"/>
    <n v="41645.14"/>
    <s v="INTEREST ON LOCAL BILL DISCOUNTING"/>
    <s v="Sales"/>
    <d v="2026-04-26T00:00:00"/>
  </r>
  <r>
    <s v="CORRESPONDENT BANK CHARGES"/>
    <n v="7205.9"/>
    <s v="D"/>
    <x v="18"/>
    <d v="2026-07-04T00:00:00"/>
    <s v="BHOWANIPORE"/>
    <n v="-7205.9"/>
    <s v="CORRESPONDENT BANK CHARGES"/>
    <s v="Sales"/>
    <d v="2026-04-26T00:00:00"/>
  </r>
  <r>
    <s v="CORRESPONDENT BANK CHARGES"/>
    <n v="25497.8"/>
    <s v="D"/>
    <x v="19"/>
    <d v="2026-07-04T00:00:00"/>
    <s v="BHOWANIPORE"/>
    <n v="-25497.8"/>
    <s v="CORRESPONDENT BANK CHARGES"/>
    <s v="Sales"/>
    <d v="2026-04-26T00:00:00"/>
  </r>
  <r>
    <s v="COMM ON EXPORT COLL BILL"/>
    <n v="2360"/>
    <s v="D"/>
    <x v="20"/>
    <d v="2026-07-04T00:00:00"/>
    <s v="BHOWANIPORE"/>
    <n v="-2360"/>
    <s v="COMM ON EXPORT COLL BILL"/>
    <s v="Sales"/>
    <d v="2026-04-26T00:00:00"/>
  </r>
  <r>
    <s v="LIQUIDATION OF LOCAL BILL UNDER LC"/>
    <n v="2592392"/>
    <s v="D"/>
    <x v="21"/>
    <d v="2026-07-04T00:00:00"/>
    <s v="BHOWANIPORE"/>
    <n v="-2592392"/>
    <s v="LIQUIDATION OF LOCAL BILL UNDER LC"/>
    <s v="Sales"/>
    <d v="2026-04-26T00:00:00"/>
  </r>
  <r>
    <s v="GST ON COMMISSION AND CHARGE"/>
    <n v="45"/>
    <s v="D"/>
    <x v="19"/>
    <d v="2026-08-04T00:00:00"/>
    <s v="BHOWANIPORE"/>
    <n v="-45"/>
    <s v="GST ON COMMISSION AND CHARGE"/>
    <s v="GST"/>
    <d v="2026-04-26T00:00:00"/>
  </r>
  <r>
    <s v="GST ON COMMISSION AND CHARGE"/>
    <n v="45"/>
    <s v="D"/>
    <x v="18"/>
    <d v="2026-08-04T00:00:00"/>
    <s v="BHOWANIPORE"/>
    <n v="-45"/>
    <s v="GST ON COMMISSION AND CHARGE"/>
    <s v="GST"/>
    <d v="2026-04-26T00:00:00"/>
  </r>
  <r>
    <s v="LIQUIDATION OF LOCAL BILL UNDER LC"/>
    <n v="7619134"/>
    <s v="D"/>
    <x v="22"/>
    <d v="2026-08-04T00:00:00"/>
    <s v="BHOWANIPORE"/>
    <n v="-7619134"/>
    <s v="LIQUIDATION OF LOCAL BILL UNDER LC"/>
    <s v="Sales"/>
    <d v="2026-04-26T00:00:00"/>
  </r>
  <r>
    <s v="LIQUIDATION OF LOCAL BILL UNDER LC"/>
    <n v="10202035"/>
    <s v="D"/>
    <x v="23"/>
    <d v="2026-09-04T00:00:00"/>
    <s v="BHOWANIPORE"/>
    <n v="-10202035"/>
    <s v="LIQUIDATION OF LOCAL BILL UNDER LC"/>
    <s v="Sales"/>
    <d v="2026-04-26T00:00:00"/>
  </r>
  <r>
    <s v="COMM ON EXPORT COLL BILL"/>
    <n v="2360"/>
    <s v="D"/>
    <x v="24"/>
    <d v="2026-09-04T00:00:00"/>
    <s v="BHOWANIPORE"/>
    <n v="-2360"/>
    <s v="COMM ON EXPORT COLL BILL"/>
    <s v="Sales"/>
    <d v="2026-04-26T00:00:00"/>
  </r>
  <r>
    <s v="COMM ON EXPORT COLL BILL"/>
    <n v="2360"/>
    <s v="D"/>
    <x v="25"/>
    <d v="2026-09-04T00:00:00"/>
    <s v="BHOWANIPORE"/>
    <n v="-2360"/>
    <s v="COMM ON EXPORT COLL BILL"/>
    <s v="Sales"/>
    <d v="2026-04-26T00:00:00"/>
  </r>
  <r>
    <s v="COMM ON EXPORT COLL BILL"/>
    <n v="2360"/>
    <s v="D"/>
    <x v="26"/>
    <d v="2026-09-04T00:00:00"/>
    <s v="BHOWANIPORE"/>
    <n v="-2360"/>
    <s v="COMM ON EXPORT COLL BILL"/>
    <s v="Sales"/>
    <d v="2026-04-26T00:00:00"/>
  </r>
  <r>
    <s v="LIQUIDATION OF LOCAL BILL UNDER LC"/>
    <n v="2617891"/>
    <s v="D"/>
    <x v="27"/>
    <d v="2026-10-04T00:00:00"/>
    <s v="BHOWANIPORE"/>
    <n v="-2617891"/>
    <s v="LIQUIDATION OF LOCAL BILL UNDER LC"/>
    <s v="Sales"/>
    <d v="2026-04-26T00:00:00"/>
  </r>
  <r>
    <s v="LIQUIDATION OF LOCAL BILL UNDER LC"/>
    <n v="14435766"/>
    <s v="D"/>
    <x v="28"/>
    <d v="2026-10-04T00:00:00"/>
    <s v="BHOWANIPORE"/>
    <n v="-14435766"/>
    <s v="LIQUIDATION OF LOCAL BILL UNDER LC"/>
    <s v="Sales"/>
    <d v="2026-04-26T00:00:00"/>
  </r>
  <r>
    <s v="LIQUIDATION OF LOCAL BILL UNDER LC"/>
    <n v="1996972"/>
    <s v="D"/>
    <x v="29"/>
    <d v="2026-10-04T00:00:00"/>
    <s v="BHOWANIPORE"/>
    <n v="-1996972"/>
    <s v="LIQUIDATION OF LOCAL BILL UNDER LC"/>
    <s v="Sales"/>
    <d v="2026-04-26T00:00:00"/>
  </r>
  <r>
    <s v="LIQUIDATION OF LOCAL BILL UNDER LC"/>
    <n v="5137822"/>
    <s v="D"/>
    <x v="30"/>
    <d v="2026-10-04T00:00:00"/>
    <s v="BHOWANIPORE"/>
    <n v="-5137822"/>
    <s v="LIQUIDATION OF LOCAL BILL UNDER LC"/>
    <s v="Sales"/>
    <d v="2026-04-26T00:00:00"/>
  </r>
  <r>
    <s v="COURIER CHARGES ON EXPORT BILLS"/>
    <n v="5310"/>
    <s v="D"/>
    <x v="31"/>
    <s v="13/04/2026"/>
    <s v="BHOWANIPORE"/>
    <n v="-5310"/>
    <s v="COURIER CHARGES ON EXPORT BILLS"/>
    <s v="Issuance"/>
    <d v="2026-04-26T00:00:00"/>
  </r>
  <r>
    <s v="COURIER CHARGES ON EXPORT BILLS"/>
    <n v="5310"/>
    <s v="D"/>
    <x v="32"/>
    <s v="13/04/2026"/>
    <s v="BHOWANIPORE"/>
    <n v="-5310"/>
    <s v="COURIER CHARGES ON EXPORT BILLS"/>
    <s v="Issuance"/>
    <d v="2026-04-26T00:00:00"/>
  </r>
  <r>
    <s v="COURIER CHARGES ON EXPORT BILLS"/>
    <n v="5310"/>
    <s v="D"/>
    <x v="33"/>
    <s v="13/04/2026"/>
    <s v="BHOWANIPORE"/>
    <n v="-5310"/>
    <s v="COURIER CHARGES ON EXPORT BILLS"/>
    <s v="Issuance"/>
    <d v="2026-04-26T00:00:00"/>
  </r>
  <r>
    <s v="BILLS DISCOUNTED"/>
    <n v="2112211.89"/>
    <s v="C"/>
    <x v="34"/>
    <s v="13/04/2026"/>
    <s v="BHOWANIPORE"/>
    <n v="2112211.89"/>
    <s v="BILLS DISCOUNTED"/>
    <s v="Sales"/>
    <d v="2026-04-26T00:00:00"/>
  </r>
  <r>
    <s v="CORRESPONDENT BANK CHARGES"/>
    <n v="5656.5"/>
    <s v="D"/>
    <x v="35"/>
    <s v="13/04/2026"/>
    <s v="BHOWANIPORE"/>
    <n v="-5656.5"/>
    <s v="CORRESPONDENT BANK CHARGES"/>
    <s v="Sales"/>
    <d v="2026-04-26T00:00:00"/>
  </r>
  <r>
    <s v="CORRESPONDENT BANK CHARGES"/>
    <n v="5656.5"/>
    <s v="D"/>
    <x v="36"/>
    <s v="13/04/2026"/>
    <s v="BHOWANIPORE"/>
    <n v="-5656.5"/>
    <s v="CORRESPONDENT BANK CHARGES"/>
    <s v="Sales"/>
    <d v="2026-04-26T00:00:00"/>
  </r>
  <r>
    <s v="BILLS DISCOUNTED"/>
    <n v="2262884.0299999998"/>
    <s v="C"/>
    <x v="37"/>
    <s v="13/04/2026"/>
    <s v="BHOWANIPORE"/>
    <n v="2262884.0299999998"/>
    <s v="BILLS DISCOUNTED"/>
    <s v="Sales"/>
    <d v="2026-04-26T00:00:00"/>
  </r>
  <r>
    <s v="LIQUIDATION OF LOCAL BILL UNDER LC"/>
    <n v="7204547"/>
    <s v="D"/>
    <x v="38"/>
    <s v="13/04/2026"/>
    <s v="BHOWANIPORE"/>
    <n v="-7204547"/>
    <s v="LIQUIDATION OF LOCAL BILL UNDER LC"/>
    <s v="Sales"/>
    <d v="2026-04-26T00:00:00"/>
  </r>
  <r>
    <s v="INTEREST ON EXPORT BILL PURCHASE"/>
    <n v="10245.700000000001"/>
    <s v="D"/>
    <x v="39"/>
    <s v="13/04/2026"/>
    <s v="BHOWANIPORE"/>
    <n v="-10245.700000000001"/>
    <s v="INTEREST ON EXPORT BILL PURCHASE"/>
    <s v="Issuance"/>
    <d v="2026-04-26T00:00:00"/>
  </r>
  <r>
    <s v="COURIER CHARGES ON EXPORT BILLS"/>
    <n v="5310"/>
    <s v="D"/>
    <x v="34"/>
    <s v="13/04/2026"/>
    <s v="BHOWANIPORE"/>
    <n v="-5310"/>
    <s v="COURIER CHARGES ON EXPORT BILLS"/>
    <s v="Issuance"/>
    <d v="2026-04-26T00:00:00"/>
  </r>
  <r>
    <s v="COURIER CHARGES ON EXPORT BILLS"/>
    <n v="5310"/>
    <s v="D"/>
    <x v="37"/>
    <s v="13/04/2026"/>
    <s v="BHOWANIPORE"/>
    <n v="-5310"/>
    <s v="COURIER CHARGES ON EXPORT BILLS"/>
    <s v="Issuance"/>
    <d v="2026-04-26T00:00:00"/>
  </r>
  <r>
    <s v="LC ADVISING COMMISSION"/>
    <n v="1770"/>
    <s v="D"/>
    <x v="40"/>
    <s v="13/04/2026"/>
    <s v="CENTRALPLAZA-KOLKATA"/>
    <n v="-1770"/>
    <s v="LC ADVISING COMMISSION"/>
    <s v="Issuance"/>
    <d v="2026-04-26T00:00:00"/>
  </r>
  <r>
    <s v="LIQUIDATION OF LOCAL BILL UNDER LC"/>
    <n v="1978624"/>
    <s v="D"/>
    <x v="41"/>
    <s v="13/04/2026"/>
    <s v="BHOWANIPORE"/>
    <n v="-1978624"/>
    <s v="LIQUIDATION OF LOCAL BILL UNDER LC"/>
    <s v="Sales"/>
    <d v="2026-04-26T00:00:00"/>
  </r>
  <r>
    <s v="LIQUIDATION OF LOCAL BILL UNDER LC"/>
    <n v="5015964"/>
    <s v="D"/>
    <x v="42"/>
    <s v="13/04/2026"/>
    <s v="BHOWANIPORE"/>
    <n v="-5015964"/>
    <s v="LIQUIDATION OF LOCAL BILL UNDER LC"/>
    <s v="Sales"/>
    <d v="2026-04-26T00:00:00"/>
  </r>
  <r>
    <s v="INTEREST ON EXPORT BILL PURCHASE"/>
    <n v="3590.12"/>
    <s v="D"/>
    <x v="43"/>
    <s v="13/04/2026"/>
    <s v="BHOWANIPORE"/>
    <n v="-3590.12"/>
    <s v="INTEREST ON EXPORT BILL PURCHASE"/>
    <s v="Issuance"/>
    <d v="2026-04-26T00:00:00"/>
  </r>
  <r>
    <s v="CORRESPONDENT BANK CHARGES"/>
    <n v="18666.45"/>
    <s v="D"/>
    <x v="44"/>
    <s v="14/04/2026"/>
    <s v="BHOWANIPORE"/>
    <n v="-18666.45"/>
    <s v="CORRESPONDENT BANK CHARGES"/>
    <s v="Sales"/>
    <d v="2026-04-26T00:00:00"/>
  </r>
  <r>
    <s v="CORRESPONDENT BANK CHARGES"/>
    <n v="15838.2"/>
    <s v="D"/>
    <x v="43"/>
    <s v="14/04/2026"/>
    <s v="BHOWANIPORE"/>
    <n v="-15838.2"/>
    <s v="CORRESPONDENT BANK CHARGES"/>
    <s v="Sales"/>
    <d v="2026-04-26T00:00:00"/>
  </r>
  <r>
    <s v="CORRESPONDENT BANK CHARGES"/>
    <n v="3959.55"/>
    <s v="D"/>
    <x v="45"/>
    <s v="15/04/2026"/>
    <s v="BHOWANIPORE"/>
    <n v="-3959.55"/>
    <s v="CORRESPONDENT BANK CHARGES"/>
    <s v="Sales"/>
    <d v="2026-04-26T00:00:00"/>
  </r>
  <r>
    <s v="LIQUIDATION OF LOCAL BILL UNDER LC"/>
    <n v="5014639"/>
    <s v="D"/>
    <x v="46"/>
    <s v="16/04/2026"/>
    <s v="BHOWANIPORE"/>
    <n v="-5014639"/>
    <s v="LIQUIDATION OF LOCAL BILL UNDER LC"/>
    <s v="Sales"/>
    <d v="2026-04-26T00:00:00"/>
  </r>
  <r>
    <s v="GST ON COMMISSION AND CHARGE"/>
    <n v="45"/>
    <s v="D"/>
    <x v="36"/>
    <s v="16/04/2026"/>
    <s v="BHOWANIPORE"/>
    <n v="-45"/>
    <s v="GST ON COMMISSION AND CHARGE"/>
    <s v="GST"/>
    <d v="2026-04-26T00:00:00"/>
  </r>
  <r>
    <s v="BILLS DISCOUNTED"/>
    <n v="44452779.950000003"/>
    <s v="C"/>
    <x v="47"/>
    <s v="16/04/2026"/>
    <s v="BHOWANIPORE"/>
    <n v="44452779.950000003"/>
    <s v="BILLS DISCOUNTED"/>
    <s v="Sales"/>
    <d v="2026-04-26T00:00:00"/>
  </r>
  <r>
    <s v="GST ON COMMISSION AND CHARGE"/>
    <n v="45"/>
    <s v="D"/>
    <x v="45"/>
    <s v="16/04/2026"/>
    <s v="BHOWANIPORE"/>
    <n v="-45"/>
    <s v="GST ON COMMISSION AND CHARGE"/>
    <s v="GST"/>
    <d v="2026-04-26T00:00:00"/>
  </r>
  <r>
    <s v="INTEREST ON LOCAL BILL DISCOUNTING"/>
    <n v="12141.61"/>
    <s v="C"/>
    <x v="48"/>
    <s v="16/04/2026"/>
    <s v="BHOWANIPORE"/>
    <n v="12141.61"/>
    <s v="INTEREST ON LOCAL BILL DISCOUNTING"/>
    <s v="Sales"/>
    <d v="2026-04-26T00:00:00"/>
  </r>
  <r>
    <s v="CORRESPONDENT BANK CHARGES"/>
    <n v="11233"/>
    <s v="D"/>
    <x v="49"/>
    <s v="16/04/2026"/>
    <s v="BHOWANIPORE"/>
    <n v="-11233"/>
    <s v="CORRESPONDENT BANK CHARGES"/>
    <s v="Sales"/>
    <d v="2026-04-26T00:00:00"/>
  </r>
  <r>
    <s v="GST ON COMMISSION AND CHARGE"/>
    <n v="45"/>
    <s v="D"/>
    <x v="43"/>
    <s v="16/04/2026"/>
    <s v="BHOWANIPORE"/>
    <n v="-45"/>
    <s v="GST ON COMMISSION AND CHARGE"/>
    <s v="GST"/>
    <d v="2026-04-26T00:00:00"/>
  </r>
  <r>
    <s v="GST ON COMMISSION AND CHARGE"/>
    <n v="45"/>
    <s v="D"/>
    <x v="35"/>
    <s v="16/04/2026"/>
    <s v="BHOWANIPORE"/>
    <n v="-45"/>
    <s v="GST ON COMMISSION AND CHARGE"/>
    <s v="GST"/>
    <d v="2026-04-26T00:00:00"/>
  </r>
  <r>
    <s v="GST ON COMMISSION AND CHARGE"/>
    <n v="45"/>
    <s v="D"/>
    <x v="44"/>
    <s v="16/04/2026"/>
    <s v="BHOWANIPORE"/>
    <n v="-45"/>
    <s v="GST ON COMMISSION AND CHARGE"/>
    <s v="GST"/>
    <d v="2026-04-26T00:00:00"/>
  </r>
  <r>
    <s v="COURIER CHARGES ON EXPORT BILLS"/>
    <n v="5310"/>
    <s v="D"/>
    <x v="47"/>
    <s v="16/04/2026"/>
    <s v="BHOWANIPORE"/>
    <n v="-5310"/>
    <s v="COURIER CHARGES ON EXPORT BILLS"/>
    <s v="Issuance"/>
    <d v="2026-04-26T00:00:00"/>
  </r>
  <r>
    <s v="BILLS DISCOUNTED"/>
    <n v="9041390.1799999997"/>
    <s v="C"/>
    <x v="31"/>
    <s v="16/04/2026"/>
    <s v="BHOWANIPORE"/>
    <n v="9041390.1799999997"/>
    <s v="BILLS DISCOUNTED"/>
    <s v="Sales"/>
    <d v="2026-04-26T00:00:00"/>
  </r>
  <r>
    <s v="COURIER CHARGES ON EXPORT BILLS"/>
    <n v="5310"/>
    <s v="D"/>
    <x v="50"/>
    <s v="16/04/2026"/>
    <s v="BHOWANIPORE"/>
    <n v="-5310"/>
    <s v="COURIER CHARGES ON EXPORT BILLS"/>
    <s v="Issuance"/>
    <d v="2026-04-26T00:00:00"/>
  </r>
  <r>
    <s v="COURIER CHARGES ON EXPORT BILLS"/>
    <n v="5310"/>
    <s v="D"/>
    <x v="51"/>
    <s v="16/04/2026"/>
    <s v="BHOWANIPORE"/>
    <n v="-5310"/>
    <s v="COURIER CHARGES ON EXPORT BILLS"/>
    <s v="Issuance"/>
    <d v="2026-04-26T00:00:00"/>
  </r>
  <r>
    <s v="LIQUIDATION OF LOCAL BILL UNDER LC"/>
    <n v="7344466"/>
    <s v="D"/>
    <x v="52"/>
    <s v="16/04/2026"/>
    <s v="BHOWANIPORE"/>
    <n v="-7344466"/>
    <s v="LIQUIDATION OF LOCAL BILL UNDER LC"/>
    <s v="Sales"/>
    <d v="2026-04-26T00:00:00"/>
  </r>
  <r>
    <s v="BILLS DISCOUNTED"/>
    <n v="23158321.010000002"/>
    <s v="C"/>
    <x v="51"/>
    <s v="16/04/2026"/>
    <s v="BHOWANIPORE"/>
    <n v="23158321.010000002"/>
    <s v="BILLS DISCOUNTED"/>
    <s v="Sales"/>
    <d v="2026-04-26T00:00:00"/>
  </r>
  <r>
    <s v="BILLS DISCOUNTED"/>
    <n v="8554366.8699999992"/>
    <s v="C"/>
    <x v="50"/>
    <s v="16/04/2026"/>
    <s v="BHOWANIPORE"/>
    <n v="8554366.8699999992"/>
    <s v="BILLS DISCOUNTED"/>
    <s v="Sales"/>
    <d v="2026-04-26T00:00:00"/>
  </r>
  <r>
    <s v="BILLS DISCOUNTED"/>
    <n v="24550550.170000002"/>
    <s v="C"/>
    <x v="32"/>
    <s v="16/04/2026"/>
    <s v="BHOWANIPORE"/>
    <n v="24550550.170000002"/>
    <s v="BILLS DISCOUNTED"/>
    <s v="Sales"/>
    <d v="2026-04-26T00:00:00"/>
  </r>
  <r>
    <s v="BILLS DISCOUNTED"/>
    <n v="12281910.49"/>
    <s v="C"/>
    <x v="33"/>
    <s v="16/04/2026"/>
    <s v="BHOWANIPORE"/>
    <n v="12281910.49"/>
    <s v="BILLS DISCOUNTED"/>
    <s v="Sales"/>
    <d v="2026-04-26T00:00:00"/>
  </r>
  <r>
    <s v="GST ON COMMISSION AND CHARGE"/>
    <n v="45"/>
    <s v="D"/>
    <x v="49"/>
    <s v="17/04/2026"/>
    <s v="BHOWANIPORE"/>
    <n v="-45"/>
    <s v="GST ON COMMISSION AND CHARGE"/>
    <s v="GST"/>
    <d v="2026-04-26T00:00:00"/>
  </r>
  <r>
    <s v="BILLS DISCOUNTED"/>
    <n v="4775105.49"/>
    <s v="C"/>
    <x v="53"/>
    <s v="17/04/2026"/>
    <s v="BHOWANIPORE"/>
    <n v="4775105.49"/>
    <s v="BILLS DISCOUNTED"/>
    <s v="Sales"/>
    <d v="2026-04-26T00:00:00"/>
  </r>
  <r>
    <s v="CORRESPONDENT BANK CHARGES"/>
    <n v="101756.49"/>
    <s v="D"/>
    <x v="54"/>
    <s v="17/04/2026"/>
    <s v="BHOWANIPORE"/>
    <n v="-101756.49"/>
    <s v="CORRESPONDENT BANK CHARGES"/>
    <s v="Sales"/>
    <d v="2026-04-26T00:00:00"/>
  </r>
  <r>
    <s v="BILLS DISCOUNTED"/>
    <n v="13422712.609999999"/>
    <s v="C"/>
    <x v="55"/>
    <s v="17/04/2026"/>
    <s v="BHOWANIPORE"/>
    <n v="13422712.609999999"/>
    <s v="BILLS DISCOUNTED"/>
    <s v="Sales"/>
    <d v="2026-04-26T00:00:00"/>
  </r>
  <r>
    <s v="COURIER CHARGES ON EXPORT BILLS"/>
    <n v="5310"/>
    <s v="D"/>
    <x v="55"/>
    <s v="17/04/2026"/>
    <s v="BHOWANIPORE"/>
    <n v="-5310"/>
    <s v="COURIER CHARGES ON EXPORT BILLS"/>
    <s v="Issuance"/>
    <d v="2026-04-26T00:00:00"/>
  </r>
  <r>
    <s v="COMM ON LOCAL LC ISSUED"/>
    <n v="13264.38"/>
    <s v="D"/>
    <x v="56"/>
    <s v="17/04/2026"/>
    <s v="BHOWANIPORE"/>
    <n v="-13264.38"/>
    <s v="COMM ON LOCAL LC ISSUED"/>
    <s v="Issuance"/>
    <d v="2026-04-26T00:00:00"/>
  </r>
  <r>
    <s v="LIQUIDATION OF LOCAL BILL UNDER LC"/>
    <n v="5156929"/>
    <s v="D"/>
    <x v="57"/>
    <s v="17/04/2026"/>
    <s v="BHOWANIPORE"/>
    <n v="-5156929"/>
    <s v="LIQUIDATION OF LOCAL BILL UNDER LC"/>
    <s v="Sales"/>
    <d v="2026-04-26T00:00:00"/>
  </r>
  <r>
    <s v="COURIER CHARGES ON EXPORT BILLS"/>
    <n v="5310"/>
    <s v="D"/>
    <x v="53"/>
    <s v="17/04/2026"/>
    <s v="BHOWANIPORE"/>
    <n v="-5310"/>
    <s v="COURIER CHARGES ON EXPORT BILLS"/>
    <s v="Issuance"/>
    <d v="2026-04-26T00:00:00"/>
  </r>
  <r>
    <s v="LIQUIDATION OF LOCAL BILL UNDER LC"/>
    <n v="2444683"/>
    <s v="D"/>
    <x v="58"/>
    <s v="18/04/2026"/>
    <s v="BHOWANIPORE"/>
    <n v="-2444683"/>
    <s v="LIQUIDATION OF LOCAL BILL UNDER LC"/>
    <s v="Sales"/>
    <d v="2026-04-26T00:00:00"/>
  </r>
  <r>
    <s v="LIQUIDATION OF LOCAL BILL UNDER LC"/>
    <n v="4897308"/>
    <s v="D"/>
    <x v="59"/>
    <s v="18/04/2026"/>
    <s v="BHOWANIPORE"/>
    <n v="-4897308"/>
    <s v="LIQUIDATION OF LOCAL BILL UNDER LC"/>
    <s v="Sales"/>
    <d v="2026-04-26T00:00:00"/>
  </r>
  <r>
    <s v="INTEREST ON EXPORT BILL PURCHASE"/>
    <n v="220.26"/>
    <s v="D"/>
    <x v="34"/>
    <s v="18/04/2026"/>
    <s v="BHOWANIPORE"/>
    <n v="-220.26"/>
    <s v="INTEREST ON EXPORT BILL PURCHASE"/>
    <s v="Issuance"/>
    <d v="2026-04-26T00:00:00"/>
  </r>
  <r>
    <s v="INTEREST ON EXPORT BILL PURCHASE"/>
    <n v="704.6"/>
    <s v="D"/>
    <x v="37"/>
    <s v="18/04/2026"/>
    <s v="BHOWANIPORE"/>
    <n v="-704.6"/>
    <s v="INTEREST ON EXPORT BILL PURCHASE"/>
    <s v="Issuance"/>
    <d v="2026-04-26T00:00:00"/>
  </r>
  <r>
    <s v="LIQUIDATION OF LOCAL BILL UNDER LC"/>
    <n v="4976514"/>
    <s v="D"/>
    <x v="60"/>
    <s v="20/04/2026"/>
    <s v="BHOWANIPORE"/>
    <n v="-4976514"/>
    <s v="LIQUIDATION OF LOCAL BILL UNDER LC"/>
    <s v="Sales"/>
    <d v="2026-04-26T00:00:00"/>
  </r>
  <r>
    <s v="COURIER CHARGES ON EXPORT BILLS"/>
    <n v="5310"/>
    <s v="D"/>
    <x v="61"/>
    <s v="20/04/2026"/>
    <s v="BHOWANIPORE"/>
    <n v="-5310"/>
    <s v="COURIER CHARGES ON EXPORT BILLS"/>
    <s v="Issuance"/>
    <d v="2026-04-26T00:00:00"/>
  </r>
  <r>
    <s v="GST ON COMMISSION AND CHARGE"/>
    <n v="181.58"/>
    <s v="D"/>
    <x v="54"/>
    <s v="20/04/2026"/>
    <s v="BHOWANIPORE"/>
    <n v="-181.58"/>
    <s v="GST ON COMMISSION AND CHARGE"/>
    <s v="GST"/>
    <d v="2026-04-26T00:00:00"/>
  </r>
  <r>
    <s v="COURIER CHARGES ON EXPORT BILLS"/>
    <n v="5310"/>
    <s v="D"/>
    <x v="62"/>
    <s v="20/04/2026"/>
    <s v="BHOWANIPORE"/>
    <n v="-5310"/>
    <s v="COURIER CHARGES ON EXPORT BILLS"/>
    <s v="Issuance"/>
    <d v="2026-04-26T00:00:00"/>
  </r>
  <r>
    <s v="COURIER CHARGES ON EXPORT BILLS"/>
    <n v="5310"/>
    <s v="D"/>
    <x v="63"/>
    <s v="20/04/2026"/>
    <s v="BHOWANIPORE"/>
    <n v="-5310"/>
    <s v="COURIER CHARGES ON EXPORT BILLS"/>
    <s v="Issuance"/>
    <d v="2026-04-26T00:00:00"/>
  </r>
  <r>
    <s v="COURIER CHARGES ON EXPORT BILLS"/>
    <n v="5310"/>
    <s v="D"/>
    <x v="64"/>
    <s v="20/04/2026"/>
    <s v="BHOWANIPORE"/>
    <n v="-5310"/>
    <s v="COURIER CHARGES ON EXPORT BILLS"/>
    <s v="Issuance"/>
    <d v="2026-04-26T00:00:00"/>
  </r>
  <r>
    <s v="COURIER CHARGES ON EXPORT BILLS"/>
    <n v="5310"/>
    <s v="D"/>
    <x v="65"/>
    <s v="20/04/2026"/>
    <s v="BHOWANIPORE"/>
    <n v="-5310"/>
    <s v="COURIER CHARGES ON EXPORT BILLS"/>
    <s v="Issuance"/>
    <d v="2026-04-26T00:00:00"/>
  </r>
  <r>
    <s v="COURIER CHARGES ON EXPORT BILLS"/>
    <n v="5310"/>
    <s v="D"/>
    <x v="66"/>
    <s v="20/04/2026"/>
    <s v="BHOWANIPORE"/>
    <n v="-5310"/>
    <s v="COURIER CHARGES ON EXPORT BILLS"/>
    <s v="Issuance"/>
    <d v="2026-04-26T00:00:00"/>
  </r>
  <r>
    <s v="LIQUIDATION OF LOCAL BILL UNDER LC"/>
    <n v="2508904"/>
    <s v="D"/>
    <x v="67"/>
    <s v="21/04/2026"/>
    <s v="BHOWANIPORE"/>
    <n v="-2508904"/>
    <s v="LIQUIDATION OF LOCAL BILL UNDER LC"/>
    <s v="Sales"/>
    <d v="2026-04-26T00:00:00"/>
  </r>
  <r>
    <s v="LIQUIDATION OF LOCAL BILL UNDER LC"/>
    <n v="10336202"/>
    <s v="D"/>
    <x v="68"/>
    <s v="21/04/2026"/>
    <s v="BHOWANIPORE"/>
    <n v="-10336202"/>
    <s v="LIQUIDATION OF LOCAL BILL UNDER LC"/>
    <s v="Sales"/>
    <d v="2026-04-26T00:00:00"/>
  </r>
  <r>
    <s v="CORRESPONDENT BANK CHARGES"/>
    <n v="4518"/>
    <s v="D"/>
    <x v="69"/>
    <s v="21/04/2026"/>
    <s v="BHOWANIPORE"/>
    <n v="-4518"/>
    <s v="CORRESPONDENT BANK CHARGES"/>
    <s v="Sales"/>
    <d v="2026-04-26T00:00:00"/>
  </r>
  <r>
    <s v="COURIER CHARGES ON EXPORT BILLS"/>
    <n v="5310"/>
    <s v="D"/>
    <x v="70"/>
    <s v="21/04/2026"/>
    <s v="BHOWANIPORE"/>
    <n v="-5310"/>
    <s v="COURIER CHARGES ON EXPORT BILLS"/>
    <s v="Issuance"/>
    <d v="2026-04-26T00:00:00"/>
  </r>
  <r>
    <s v="COURIER CHARGES ON EXPORT BILLS"/>
    <n v="5310"/>
    <s v="D"/>
    <x v="71"/>
    <s v="21/04/2026"/>
    <s v="BHOWANIPORE"/>
    <n v="-5310"/>
    <s v="COURIER CHARGES ON EXPORT BILLS"/>
    <s v="Issuance"/>
    <d v="2026-04-26T00:00:00"/>
  </r>
  <r>
    <s v="COURIER CHARGES ON EXPORT BILLS"/>
    <n v="5310"/>
    <s v="D"/>
    <x v="72"/>
    <s v="21/04/2026"/>
    <s v="BHOWANIPORE"/>
    <n v="-5310"/>
    <s v="COURIER CHARGES ON EXPORT BILLS"/>
    <s v="Issuance"/>
    <d v="2026-04-26T00:00:00"/>
  </r>
  <r>
    <s v="GST ON COMMISSION AND CHARGE"/>
    <n v="45"/>
    <s v="D"/>
    <x v="69"/>
    <s v="22/04/2026"/>
    <s v="BHOWANIPORE"/>
    <n v="-45"/>
    <s v="GST ON COMMISSION AND CHARGE"/>
    <s v="GST"/>
    <d v="2026-04-26T00:00:00"/>
  </r>
  <r>
    <s v="COURIER CHARGES ON EXPORT BILLS"/>
    <n v="5310"/>
    <s v="D"/>
    <x v="73"/>
    <s v="23/04/2026"/>
    <s v="BHOWANIPORE"/>
    <n v="-5310"/>
    <s v="COURIER CHARGES ON EXPORT BILLS"/>
    <s v="Issuance"/>
    <d v="2026-04-26T00:00:00"/>
  </r>
  <r>
    <s v="CORRESPONDENT BANK CHARGES"/>
    <n v="25049.93"/>
    <s v="D"/>
    <x v="74"/>
    <s v="23/04/2026"/>
    <s v="BHOWANIPORE"/>
    <n v="-25049.93"/>
    <s v="CORRESPONDENT BANK CHARGES"/>
    <s v="Sales"/>
    <d v="2026-04-26T00:00:00"/>
  </r>
  <r>
    <s v="LC ADVISING COMMISSION"/>
    <n v="1770"/>
    <s v="D"/>
    <x v="75"/>
    <s v="23/04/2026"/>
    <s v="CENTRALPLAZA-KOLKATA"/>
    <n v="-1770"/>
    <s v="LC ADVISING COMMISSION"/>
    <s v="Issuance"/>
    <d v="2026-04-26T00:00:00"/>
  </r>
  <r>
    <s v="COURIER CHARGES ON EXPORT BILLS"/>
    <n v="5310"/>
    <s v="D"/>
    <x v="76"/>
    <s v="23/04/2026"/>
    <s v="BHOWANIPORE"/>
    <n v="-5310"/>
    <s v="COURIER CHARGES ON EXPORT BILLS"/>
    <s v="Issuance"/>
    <d v="2026-04-26T00:00:00"/>
  </r>
  <r>
    <s v="LIQUIDATION OF LOCAL BILL UNDER LC"/>
    <n v="7354826"/>
    <s v="D"/>
    <x v="77"/>
    <s v="23/04/2026"/>
    <s v="BHOWANIPORE"/>
    <n v="-7354826"/>
    <s v="LIQUIDATION OF LOCAL BILL UNDER LC"/>
    <s v="Sales"/>
    <d v="2026-04-26T00:00:00"/>
  </r>
  <r>
    <s v="BILLS DISCOUNTED"/>
    <n v="64889972.920000002"/>
    <s v="C"/>
    <x v="78"/>
    <s v="24/04/2026"/>
    <s v="BHOWANIPORE"/>
    <n v="64889972.920000002"/>
    <s v="BILLS DISCOUNTED"/>
    <s v="Sales"/>
    <d v="2026-04-26T00:00:00"/>
  </r>
  <r>
    <s v="BILLS DISCOUNTED"/>
    <n v="13119530.23"/>
    <s v="C"/>
    <x v="79"/>
    <s v="24/04/2026"/>
    <s v="BHOWANIPORE"/>
    <n v="13119530.23"/>
    <s v="BILLS DISCOUNTED"/>
    <s v="Sales"/>
    <d v="2026-04-26T00:00:00"/>
  </r>
  <r>
    <s v="COURIER CHARGES ON EXPORT BILLS"/>
    <n v="5310"/>
    <s v="D"/>
    <x v="80"/>
    <s v="24/04/2026"/>
    <s v="BHOWANIPORE"/>
    <n v="-5310"/>
    <s v="COURIER CHARGES ON EXPORT BILLS"/>
    <s v="Issuance"/>
    <d v="2026-04-26T00:00:00"/>
  </r>
  <r>
    <s v="BILLS DISCOUNTED"/>
    <n v="8542956.5399999991"/>
    <s v="C"/>
    <x v="76"/>
    <s v="24/04/2026"/>
    <s v="BHOWANIPORE"/>
    <n v="8542956.5399999991"/>
    <s v="BILLS DISCOUNTED"/>
    <s v="Sales"/>
    <d v="2026-04-26T00:00:00"/>
  </r>
  <r>
    <s v="BILLS DISCOUNTED"/>
    <n v="15741134.789999999"/>
    <s v="C"/>
    <x v="81"/>
    <s v="24/04/2026"/>
    <s v="BHOWANIPORE"/>
    <n v="15741134.789999999"/>
    <s v="BILLS DISCOUNTED"/>
    <s v="Sales"/>
    <d v="2026-04-26T00:00:00"/>
  </r>
  <r>
    <s v="BILLS DISCOUNTED"/>
    <n v="13215122.890000001"/>
    <s v="C"/>
    <x v="82"/>
    <s v="24/04/2026"/>
    <s v="BHOWANIPORE"/>
    <n v="13215122.890000001"/>
    <s v="BILLS DISCOUNTED"/>
    <s v="Sales"/>
    <d v="2026-04-26T00:00:00"/>
  </r>
  <r>
    <s v="COURIER CHARGES ON EXPORT BILLS"/>
    <n v="5310"/>
    <s v="D"/>
    <x v="82"/>
    <s v="24/04/2026"/>
    <s v="BHOWANIPORE"/>
    <n v="-5310"/>
    <s v="COURIER CHARGES ON EXPORT BILLS"/>
    <s v="Issuance"/>
    <d v="2026-04-26T00:00:00"/>
  </r>
  <r>
    <s v="COURIER CHARGES ON EXPORT BILLS"/>
    <n v="5310"/>
    <s v="D"/>
    <x v="78"/>
    <s v="24/04/2026"/>
    <s v="BHOWANIPORE"/>
    <n v="-5310"/>
    <s v="COURIER CHARGES ON EXPORT BILLS"/>
    <s v="Issuance"/>
    <d v="2026-04-26T00:00:00"/>
  </r>
  <r>
    <s v="COURIER CHARGES ON EXPORT BILLS"/>
    <n v="5310"/>
    <s v="D"/>
    <x v="79"/>
    <s v="24/04/2026"/>
    <s v="BHOWANIPORE"/>
    <n v="-5310"/>
    <s v="COURIER CHARGES ON EXPORT BILLS"/>
    <s v="Issuance"/>
    <d v="2026-04-26T00:00:00"/>
  </r>
  <r>
    <s v="GST ON COMMISSION AND CHARGE"/>
    <n v="45"/>
    <s v="D"/>
    <x v="74"/>
    <s v="24/04/2026"/>
    <s v="BHOWANIPORE"/>
    <n v="-45"/>
    <s v="GST ON COMMISSION AND CHARGE"/>
    <s v="GST"/>
    <d v="2026-04-26T00:00:00"/>
  </r>
  <r>
    <s v="LIQUIDATION OF LOCAL BILL UNDER LC"/>
    <n v="14344717"/>
    <s v="D"/>
    <x v="83"/>
    <s v="24/04/2026"/>
    <s v="BHOWANIPORE"/>
    <n v="-14344717"/>
    <s v="LIQUIDATION OF LOCAL BILL UNDER LC"/>
    <s v="Sales"/>
    <d v="2026-04-26T00:00:00"/>
  </r>
  <r>
    <s v="COURIER CHARGES ON EXPORT BILLS"/>
    <n v="5310"/>
    <s v="D"/>
    <x v="81"/>
    <s v="24/04/2026"/>
    <s v="BHOWANIPORE"/>
    <n v="-5310"/>
    <s v="COURIER CHARGES ON EXPORT BILLS"/>
    <s v="Issuance"/>
    <d v="2026-04-26T00:00:00"/>
  </r>
  <r>
    <s v="CORRESPONDENT BANK CHARGES"/>
    <n v="48407.22"/>
    <s v="D"/>
    <x v="84"/>
    <s v="27/04/2026"/>
    <s v="BHOWANIPORE"/>
    <n v="-48407.22"/>
    <s v="CORRESPONDENT BANK CHARGES"/>
    <s v="Sales"/>
    <d v="2026-04-26T00:00:00"/>
  </r>
  <r>
    <s v="CORRESPONDENT BANK CHARGES"/>
    <n v="5678"/>
    <s v="D"/>
    <x v="85"/>
    <s v="27/04/2026"/>
    <s v="BHOWANIPORE"/>
    <n v="-5678"/>
    <s v="CORRESPONDENT BANK CHARGES"/>
    <s v="Sales"/>
    <d v="2026-04-26T00:00:00"/>
  </r>
  <r>
    <s v="COURIER CHARGES ON EXPORT BILLS"/>
    <n v="5310"/>
    <s v="D"/>
    <x v="86"/>
    <s v="27/04/2026"/>
    <s v="BHOWANIPORE"/>
    <n v="-5310"/>
    <s v="COURIER CHARGES ON EXPORT BILLS"/>
    <s v="Issuance"/>
    <d v="2026-04-26T00:00:00"/>
  </r>
  <r>
    <s v="LIQUIDATION OF LOCAL BILL UNDER LC"/>
    <n v="2595450"/>
    <s v="D"/>
    <x v="87"/>
    <s v="28/04/2026"/>
    <s v="BHOWANIPORE"/>
    <n v="-2595450"/>
    <s v="LIQUIDATION OF LOCAL BILL UNDER LC"/>
    <s v="Sales"/>
    <d v="2026-04-26T00:00:00"/>
  </r>
  <r>
    <s v="LIQUIDATION OF LOCAL BILL UNDER LC"/>
    <n v="2597043"/>
    <s v="D"/>
    <x v="88"/>
    <s v="28/04/2026"/>
    <s v="BHOWANIPORE"/>
    <n v="-2597043"/>
    <s v="LIQUIDATION OF LOCAL BILL UNDER LC"/>
    <s v="Sales"/>
    <d v="2026-04-26T00:00:00"/>
  </r>
  <r>
    <s v="GST ON COMMISSION AND CHARGE"/>
    <n v="45"/>
    <s v="D"/>
    <x v="85"/>
    <s v="28/04/2026"/>
    <s v="BHOWANIPORE"/>
    <n v="-45"/>
    <s v="GST ON COMMISSION AND CHARGE"/>
    <s v="GST"/>
    <d v="2026-04-26T00:00:00"/>
  </r>
  <r>
    <s v="CORRESPONDENT BANK CHARGES"/>
    <n v="6264.5"/>
    <s v="D"/>
    <x v="89"/>
    <s v="28/04/2026"/>
    <s v="BHOWANIPORE"/>
    <n v="-6264.5"/>
    <s v="CORRESPONDENT BANK CHARGES"/>
    <s v="Sales"/>
    <d v="2026-04-26T00:00:00"/>
  </r>
  <r>
    <s v="GST ON COMMISSION AND CHARGE"/>
    <n v="87.14"/>
    <s v="D"/>
    <x v="84"/>
    <s v="28/04/2026"/>
    <s v="BHOWANIPORE"/>
    <n v="-87.14"/>
    <s v="GST ON COMMISSION AND CHARGE"/>
    <s v="GST"/>
    <d v="2026-04-26T00:00:00"/>
  </r>
  <r>
    <s v="BILLS DISCOUNTED"/>
    <n v="16751499.890000001"/>
    <s v="C"/>
    <x v="86"/>
    <s v="28/04/2026"/>
    <s v="BHOWANIPORE"/>
    <n v="16751499.890000001"/>
    <s v="BILLS DISCOUNTED"/>
    <s v="Sales"/>
    <d v="2026-04-26T00:00:00"/>
  </r>
  <r>
    <s v="COURIER CHARGES ON EXPORT BILLS"/>
    <n v="5310"/>
    <s v="D"/>
    <x v="90"/>
    <s v="28/04/2026"/>
    <s v="BHOWANIPORE"/>
    <n v="-5310"/>
    <s v="COURIER CHARGES ON EXPORT BILLS"/>
    <s v="Issuance"/>
    <d v="2026-04-26T00:00:00"/>
  </r>
  <r>
    <s v="BILLS DISCOUNTED"/>
    <n v="7393819.3600000003"/>
    <s v="C"/>
    <x v="80"/>
    <s v="28/04/2026"/>
    <s v="BHOWANIPORE"/>
    <n v="7393819.3600000003"/>
    <s v="BILLS DISCOUNTED"/>
    <s v="Sales"/>
    <d v="2026-04-26T00:00:00"/>
  </r>
  <r>
    <s v="BILLS DISCOUNTED"/>
    <n v="45035034.420000002"/>
    <s v="C"/>
    <x v="90"/>
    <s v="28/04/2026"/>
    <s v="BHOWANIPORE"/>
    <n v="45035034.420000002"/>
    <s v="BILLS DISCOUNTED"/>
    <s v="Sales"/>
    <d v="2026-04-26T00:00:00"/>
  </r>
  <r>
    <s v="BILLS DISCOUNTED"/>
    <n v="21797486.02"/>
    <s v="C"/>
    <x v="73"/>
    <s v="28/04/2026"/>
    <s v="BHOWANIPORE"/>
    <n v="21797486.02"/>
    <s v="BILLS DISCOUNTED"/>
    <s v="Sales"/>
    <d v="2026-04-26T00:00:00"/>
  </r>
  <r>
    <s v="LC ADVISING COMMISSION"/>
    <n v="1770"/>
    <s v="D"/>
    <x v="91"/>
    <s v="29/04/2026"/>
    <s v="CENTRALPLAZA-KOLKATA"/>
    <n v="-1770"/>
    <s v="LC ADVISING COMMISSION"/>
    <s v="Issuance"/>
    <d v="2026-04-26T00:00:00"/>
  </r>
  <r>
    <s v="GST ON COMMISSION AND CHARGE"/>
    <n v="45"/>
    <s v="D"/>
    <x v="89"/>
    <s v="30/04/2026"/>
    <s v="BHOWANIPORE"/>
    <n v="-45"/>
    <s v="GST ON COMMISSION AND CHARGE"/>
    <s v="GST"/>
    <d v="2026-04-26T00:00:00"/>
  </r>
  <r>
    <s v="INTEREST ON EXPORT BILL PURCHASE"/>
    <n v="4267.0200000000004"/>
    <s v="D"/>
    <x v="55"/>
    <s v="30/04/2026"/>
    <s v="BHOWANIPORE"/>
    <n v="-4267.0200000000004"/>
    <s v="INTEREST ON EXPORT BILL PURCHASE"/>
    <s v="Issuance"/>
    <d v="2026-04-26T00:00:00"/>
  </r>
  <r>
    <s v="COURIER CHARGES ON EXPORT BILLS"/>
    <n v="5310"/>
    <s v="D"/>
    <x v="92"/>
    <s v="30/04/2026"/>
    <s v="BHOWANIPORE"/>
    <n v="-5310"/>
    <s v="COURIER CHARGES ON EXPORT BILLS"/>
    <s v="Issuance"/>
    <d v="2026-04-26T00:00:00"/>
  </r>
  <r>
    <s v="BILLS DISCOUNTED"/>
    <n v="43857749.25"/>
    <s v="C"/>
    <x v="92"/>
    <s v="30/04/2026"/>
    <s v="BHOWANIPORE"/>
    <n v="43857749.25"/>
    <s v="BILLS DISCOUNTED"/>
    <s v="Sales"/>
    <d v="2026-04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7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94">
        <item x="13"/>
        <item x="7"/>
        <item x="8"/>
        <item x="12"/>
        <item x="40"/>
        <item x="75"/>
        <item x="91"/>
        <item x="14"/>
        <item x="10"/>
        <item x="17"/>
        <item x="21"/>
        <item x="27"/>
        <item x="28"/>
        <item x="29"/>
        <item x="30"/>
        <item x="22"/>
        <item x="41"/>
        <item x="23"/>
        <item x="38"/>
        <item x="42"/>
        <item x="46"/>
        <item x="52"/>
        <item x="57"/>
        <item x="59"/>
        <item x="58"/>
        <item x="68"/>
        <item x="67"/>
        <item x="60"/>
        <item x="77"/>
        <item x="83"/>
        <item x="88"/>
        <item x="87"/>
        <item x="26"/>
        <item x="24"/>
        <item x="9"/>
        <item x="16"/>
        <item x="20"/>
        <item x="25"/>
        <item x="3"/>
        <item x="2"/>
        <item x="1"/>
        <item x="4"/>
        <item x="0"/>
        <item x="6"/>
        <item x="39"/>
        <item x="43"/>
        <item x="18"/>
        <item x="44"/>
        <item x="45"/>
        <item x="54"/>
        <item x="69"/>
        <item x="5"/>
        <item x="89"/>
        <item x="35"/>
        <item x="36"/>
        <item x="19"/>
        <item x="49"/>
        <item x="48"/>
        <item x="84"/>
        <item x="85"/>
        <item x="74"/>
        <item x="15"/>
        <item x="11"/>
        <item x="37"/>
        <item x="34"/>
        <item x="33"/>
        <item x="31"/>
        <item x="32"/>
        <item x="51"/>
        <item x="50"/>
        <item x="47"/>
        <item x="55"/>
        <item x="53"/>
        <item x="64"/>
        <item x="63"/>
        <item x="66"/>
        <item x="65"/>
        <item x="62"/>
        <item x="61"/>
        <item x="71"/>
        <item x="70"/>
        <item x="72"/>
        <item x="76"/>
        <item x="73"/>
        <item x="79"/>
        <item x="78"/>
        <item x="82"/>
        <item x="81"/>
        <item x="80"/>
        <item x="86"/>
        <item x="90"/>
        <item x="92"/>
        <item x="5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" outline="0" showAll="0"/>
  </pivotFields>
  <rowFields count="1">
    <field x="3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Net Amount" fld="6" baseField="0" baseItem="0" numFmtId="164"/>
  </dataFields>
  <formats count="7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3" type="button" dataOnly="0" labelOnly="1" outline="0" axis="axisRow" fieldPosition="0"/>
    </format>
    <format dxfId="12">
      <pivotArea dataOnly="0" labelOnly="1" outline="0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outline="0" fieldPosition="0">
        <references count="1">
          <reference field="3" count="4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2:AA14"/>
  <sheetViews>
    <sheetView showGridLines="0" tabSelected="1" workbookViewId="0">
      <selection activeCell="D10" sqref="D10"/>
    </sheetView>
  </sheetViews>
  <sheetFormatPr defaultRowHeight="15"/>
  <cols>
    <col min="2" max="2" width="0" hidden="1" customWidth="1"/>
    <col min="3" max="3" width="23.42578125" customWidth="1"/>
    <col min="4" max="4" width="12.42578125" bestFit="1" customWidth="1"/>
    <col min="5" max="5" width="23.7109375" bestFit="1" customWidth="1"/>
    <col min="7" max="7" width="16" customWidth="1"/>
    <col min="8" max="8" width="11.85546875" customWidth="1"/>
    <col min="9" max="9" width="12.5703125" customWidth="1"/>
    <col min="14" max="14" width="8.7109375" customWidth="1"/>
  </cols>
  <sheetData>
    <row r="2" spans="1:27">
      <c r="A2" s="67"/>
      <c r="B2" s="67"/>
      <c r="C2" s="68" t="s">
        <v>0</v>
      </c>
      <c r="E2" s="1"/>
      <c r="F2" s="1"/>
      <c r="G2" s="1"/>
      <c r="H2" s="69"/>
      <c r="I2" s="70" t="s">
        <v>1</v>
      </c>
      <c r="J2" s="1"/>
      <c r="K2" s="1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48">
      <c r="A3" s="67"/>
      <c r="B3" s="67"/>
      <c r="C3" s="71" t="s">
        <v>2</v>
      </c>
      <c r="D3" s="218" t="s">
        <v>3</v>
      </c>
      <c r="E3" s="72" t="s">
        <v>4</v>
      </c>
      <c r="F3" s="72" t="s">
        <v>5</v>
      </c>
      <c r="G3" s="72" t="s">
        <v>6</v>
      </c>
      <c r="H3" s="72" t="s">
        <v>7</v>
      </c>
      <c r="I3" s="73" t="s">
        <v>8</v>
      </c>
      <c r="J3" s="74" t="s">
        <v>9</v>
      </c>
      <c r="K3" s="74" t="s">
        <v>10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1:27">
      <c r="A4" s="67"/>
      <c r="B4" s="67"/>
      <c r="C4" s="75" t="s">
        <v>11</v>
      </c>
      <c r="D4" s="219"/>
      <c r="E4" s="78">
        <v>7.5999999999999998E-2</v>
      </c>
      <c r="F4" s="76">
        <f>SUMIF($E$10:$E$13,$C$4,N:N)</f>
        <v>0</v>
      </c>
      <c r="G4" s="76">
        <f ca="1">SUMIF($E$10:$E$13,$C$4,J11:J13)</f>
        <v>0</v>
      </c>
      <c r="H4" s="76">
        <f ca="1">SUMIF($E$10:$E$14,$C$4,P10:P13)</f>
        <v>0</v>
      </c>
      <c r="I4" s="224">
        <f ca="1">G4-H4</f>
        <v>0</v>
      </c>
      <c r="J4" s="225"/>
      <c r="K4" s="226"/>
      <c r="L4" s="67"/>
      <c r="M4" s="194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spans="1:27">
      <c r="A5" s="67"/>
      <c r="B5" s="67"/>
      <c r="C5" s="75" t="s">
        <v>12</v>
      </c>
      <c r="D5" s="221" t="s">
        <v>13</v>
      </c>
      <c r="E5" s="220">
        <v>7.1999999999999995E-2</v>
      </c>
      <c r="F5" s="76">
        <f>SUMIFS(O:O,D:D,D5,E:E,C5)</f>
        <v>2271779.21</v>
      </c>
      <c r="G5" s="76">
        <f>SUMIFS(M:M,D:D,D5,E:E,C5)</f>
        <v>42555.69</v>
      </c>
      <c r="H5" s="222">
        <f>SUMIFS(S:S,D:D,D5,E:E,C5)</f>
        <v>42555.295509041091</v>
      </c>
      <c r="I5" s="223">
        <f>G5-H5</f>
        <v>0.39449095891177421</v>
      </c>
      <c r="J5" s="77"/>
      <c r="K5" s="77" t="s">
        <v>14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spans="1:27">
      <c r="A6" s="67"/>
      <c r="B6" s="67"/>
      <c r="C6" s="219" t="s">
        <v>12</v>
      </c>
      <c r="D6" s="219" t="s">
        <v>15</v>
      </c>
      <c r="E6" s="78">
        <v>7.1999999999999995E-2</v>
      </c>
      <c r="F6" s="222">
        <f>SUMIFS(O:O,D:D,D6,E:E,C6)</f>
        <v>641100.75000000023</v>
      </c>
      <c r="G6" s="222">
        <f>SUMIFS(M:M,D:D,D6,E:E,C6)</f>
        <v>12010.04</v>
      </c>
      <c r="H6" s="222">
        <f>SUMIFS(S:S,D:D,D6,E:E,C6)</f>
        <v>12009.17770520548</v>
      </c>
      <c r="I6" s="223">
        <f>G6-H6</f>
        <v>0.86229479452049418</v>
      </c>
      <c r="J6" s="77"/>
      <c r="K6" s="77" t="s">
        <v>14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spans="1:27">
      <c r="A7" s="67"/>
      <c r="B7" s="67"/>
      <c r="C7" s="270" t="s">
        <v>16</v>
      </c>
      <c r="D7" s="271"/>
      <c r="E7" s="79" t="s">
        <v>14</v>
      </c>
      <c r="F7" s="80">
        <f>SUM(F4:F5)</f>
        <v>2271779.21</v>
      </c>
      <c r="G7" s="80">
        <f ca="1">SUM(G4:G5)</f>
        <v>42555.69</v>
      </c>
      <c r="H7" s="80">
        <f ca="1">SUM(H4:H5)</f>
        <v>42555.295509041091</v>
      </c>
      <c r="I7" s="227">
        <f ca="1">SUM(I4:I5)</f>
        <v>0.39449095891177421</v>
      </c>
      <c r="J7" s="228" t="s">
        <v>14</v>
      </c>
      <c r="K7" s="228" t="s">
        <v>14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27">
      <c r="A9" s="67"/>
      <c r="B9" s="67"/>
      <c r="C9" s="67"/>
      <c r="D9" s="81"/>
      <c r="E9" s="67"/>
      <c r="F9" s="273" t="s">
        <v>17</v>
      </c>
      <c r="G9" s="273"/>
      <c r="H9" s="273"/>
      <c r="I9" s="273"/>
      <c r="J9" s="273"/>
      <c r="K9" s="273"/>
      <c r="L9" s="273"/>
      <c r="M9" s="273"/>
      <c r="N9" s="273"/>
      <c r="O9" s="273"/>
      <c r="P9" s="274" t="s">
        <v>18</v>
      </c>
      <c r="Q9" s="274"/>
      <c r="R9" s="274"/>
      <c r="S9" s="274"/>
      <c r="T9" s="275"/>
      <c r="U9" s="276" t="s">
        <v>19</v>
      </c>
      <c r="V9" s="277"/>
      <c r="W9" s="278"/>
      <c r="X9" s="82" t="s">
        <v>20</v>
      </c>
      <c r="Y9" s="268" t="s">
        <v>21</v>
      </c>
      <c r="Z9" s="269"/>
      <c r="AA9" s="189"/>
    </row>
    <row r="10" spans="1:27" ht="48">
      <c r="A10" s="67"/>
      <c r="B10" s="67"/>
      <c r="C10" s="83" t="s">
        <v>22</v>
      </c>
      <c r="D10" s="83" t="s">
        <v>3</v>
      </c>
      <c r="E10" s="83" t="s">
        <v>23</v>
      </c>
      <c r="F10" s="197" t="s">
        <v>24</v>
      </c>
      <c r="G10" s="198" t="s">
        <v>25</v>
      </c>
      <c r="H10" s="198" t="s">
        <v>26</v>
      </c>
      <c r="I10" s="198" t="s">
        <v>27</v>
      </c>
      <c r="J10" s="199" t="s">
        <v>28</v>
      </c>
      <c r="K10" s="198" t="s">
        <v>29</v>
      </c>
      <c r="L10" s="198" t="s">
        <v>30</v>
      </c>
      <c r="M10" s="198" t="s">
        <v>31</v>
      </c>
      <c r="N10" s="198" t="s">
        <v>32</v>
      </c>
      <c r="O10" s="198" t="s">
        <v>33</v>
      </c>
      <c r="P10" s="84" t="s">
        <v>28</v>
      </c>
      <c r="Q10" s="84" t="s">
        <v>29</v>
      </c>
      <c r="R10" s="84" t="s">
        <v>30</v>
      </c>
      <c r="S10" s="84" t="s">
        <v>31</v>
      </c>
      <c r="T10" s="84" t="s">
        <v>32</v>
      </c>
      <c r="U10" s="84" t="s">
        <v>34</v>
      </c>
      <c r="V10" s="84" t="s">
        <v>35</v>
      </c>
      <c r="W10" s="85" t="s">
        <v>21</v>
      </c>
      <c r="X10" s="84" t="s">
        <v>36</v>
      </c>
      <c r="Y10" s="86" t="s">
        <v>37</v>
      </c>
      <c r="Z10" s="86" t="s">
        <v>38</v>
      </c>
      <c r="AA10" s="86" t="s">
        <v>39</v>
      </c>
    </row>
    <row r="11" spans="1:27">
      <c r="A11" s="67"/>
      <c r="B11" s="67" t="s">
        <v>40</v>
      </c>
      <c r="C11" s="195">
        <v>102901</v>
      </c>
      <c r="D11" s="200" t="s">
        <v>13</v>
      </c>
      <c r="E11" s="87" t="s">
        <v>12</v>
      </c>
      <c r="F11" s="88" t="s">
        <v>41</v>
      </c>
      <c r="G11" s="89">
        <v>1559243</v>
      </c>
      <c r="H11" s="89">
        <f>G11/1.18</f>
        <v>1321392.3728813559</v>
      </c>
      <c r="I11" s="89">
        <f>H11*0.18</f>
        <v>237850.62711864407</v>
      </c>
      <c r="J11" s="89">
        <v>27682</v>
      </c>
      <c r="K11" s="89">
        <v>4983</v>
      </c>
      <c r="L11" s="89">
        <v>2768.19</v>
      </c>
      <c r="M11" s="90">
        <f>J11+K11-L11</f>
        <v>29896.81</v>
      </c>
      <c r="N11" s="89">
        <v>1321.39</v>
      </c>
      <c r="O11" s="91">
        <f>SUM(H11:L11,N11)</f>
        <v>1595997.5799999998</v>
      </c>
      <c r="P11" s="92">
        <f>G11*U11*90/365</f>
        <v>27681.903123287666</v>
      </c>
      <c r="Q11" s="91">
        <f>P11*0.18</f>
        <v>4982.7425621917801</v>
      </c>
      <c r="R11" s="91">
        <f>P11*0.1</f>
        <v>2768.1903123287666</v>
      </c>
      <c r="S11" s="91">
        <f>P11+Q11-R11</f>
        <v>29896.455373150678</v>
      </c>
      <c r="T11" s="91">
        <f>H11*0.1%</f>
        <v>1321.3923728813559</v>
      </c>
      <c r="U11" s="93">
        <v>7.1999999999999995E-2</v>
      </c>
      <c r="V11" s="93">
        <v>7.1999999999999995E-2</v>
      </c>
      <c r="W11" s="94">
        <f>U11-V11</f>
        <v>0</v>
      </c>
      <c r="X11" s="90">
        <f>SUMIFS(SAP!H:H,SAP!P:P, "BOE",SAP!R:R,Purchases!C11,SAP!V:V,Purchases!B11)</f>
        <v>27682.2</v>
      </c>
      <c r="Y11" s="95">
        <f>ROUND(J11-X11,0)</f>
        <v>0</v>
      </c>
      <c r="Z11" s="96">
        <f>ROUND(J11-P11,0)</f>
        <v>0</v>
      </c>
      <c r="AA11" s="97" t="s">
        <v>42</v>
      </c>
    </row>
    <row r="12" spans="1:27">
      <c r="A12" s="67"/>
      <c r="B12" s="67" t="s">
        <v>40</v>
      </c>
      <c r="C12" s="195">
        <v>103010</v>
      </c>
      <c r="D12" s="200" t="s">
        <v>13</v>
      </c>
      <c r="E12" s="87" t="s">
        <v>12</v>
      </c>
      <c r="F12" s="148" t="s">
        <v>43</v>
      </c>
      <c r="G12" s="89">
        <v>660219</v>
      </c>
      <c r="H12" s="89">
        <f t="shared" ref="H12:H13" si="0">G12/1.18</f>
        <v>559507.62711864407</v>
      </c>
      <c r="I12" s="89">
        <f>H12*0.18</f>
        <v>100711.37288135593</v>
      </c>
      <c r="J12" s="89">
        <v>11721</v>
      </c>
      <c r="K12" s="89">
        <v>2110</v>
      </c>
      <c r="L12" s="89">
        <v>1172.1199999999999</v>
      </c>
      <c r="M12" s="90">
        <f t="shared" ref="M12:M13" si="1">J12+K12-L12</f>
        <v>12658.880000000001</v>
      </c>
      <c r="N12" s="89">
        <v>559.51</v>
      </c>
      <c r="O12" s="91">
        <f t="shared" ref="O12:O13" si="2">SUM(H12:L12,N12)</f>
        <v>675781.63</v>
      </c>
      <c r="P12" s="92">
        <f t="shared" ref="P12:P13" si="3">G12*U12*90/365</f>
        <v>11721.148273972603</v>
      </c>
      <c r="Q12" s="91">
        <f t="shared" ref="Q12:Q13" si="4">P12*0.18</f>
        <v>2109.8066893150685</v>
      </c>
      <c r="R12" s="91">
        <f t="shared" ref="R12:R13" si="5">P12*0.1</f>
        <v>1172.1148273972603</v>
      </c>
      <c r="S12" s="91">
        <f t="shared" ref="S12:S13" si="6">P12+Q12-R12</f>
        <v>12658.840135890412</v>
      </c>
      <c r="T12" s="91">
        <f t="shared" ref="T12:T13" si="7">H12*0.1%</f>
        <v>559.50762711864411</v>
      </c>
      <c r="U12" s="93">
        <v>7.1999999999999995E-2</v>
      </c>
      <c r="V12" s="93">
        <v>7.1999999999999995E-2</v>
      </c>
      <c r="W12" s="94">
        <f t="shared" ref="W12:W13" si="8">U12-V12</f>
        <v>0</v>
      </c>
      <c r="X12" s="90">
        <f>SUMIFS(SAP!H:H,SAP!P:P, "BOE",SAP!R:R,Purchases!C12,SAP!V:V,Purchases!B12)</f>
        <v>11721.19</v>
      </c>
      <c r="Y12" s="95">
        <f>ROUND(J12-X12,0)</f>
        <v>0</v>
      </c>
      <c r="Z12" s="96">
        <f>ROUND(J12-P12,0)</f>
        <v>0</v>
      </c>
      <c r="AA12" s="97" t="s">
        <v>42</v>
      </c>
    </row>
    <row r="13" spans="1:27">
      <c r="A13" s="67"/>
      <c r="B13" s="67" t="s">
        <v>40</v>
      </c>
      <c r="C13" s="196">
        <v>103011</v>
      </c>
      <c r="D13" s="201" t="s">
        <v>15</v>
      </c>
      <c r="E13" s="147" t="s">
        <v>12</v>
      </c>
      <c r="F13" s="148" t="s">
        <v>43</v>
      </c>
      <c r="G13" s="89">
        <v>626336.00000000012</v>
      </c>
      <c r="H13" s="89">
        <f t="shared" si="0"/>
        <v>530793.22033898323</v>
      </c>
      <c r="I13" s="149">
        <f t="shared" ref="I13" si="9">H13*0.18</f>
        <v>95542.779661016975</v>
      </c>
      <c r="J13" s="149">
        <v>11120</v>
      </c>
      <c r="K13" s="149">
        <v>2002</v>
      </c>
      <c r="L13" s="149">
        <v>1111.96</v>
      </c>
      <c r="M13" s="150">
        <f t="shared" si="1"/>
        <v>12010.04</v>
      </c>
      <c r="N13" s="149">
        <v>530.79</v>
      </c>
      <c r="O13" s="91">
        <f t="shared" si="2"/>
        <v>641100.75000000023</v>
      </c>
      <c r="P13" s="92">
        <f t="shared" si="3"/>
        <v>11119.608986301371</v>
      </c>
      <c r="Q13" s="151">
        <f t="shared" si="4"/>
        <v>2001.5296175342467</v>
      </c>
      <c r="R13" s="151">
        <f t="shared" si="5"/>
        <v>1111.9608986301371</v>
      </c>
      <c r="S13" s="151">
        <f t="shared" si="6"/>
        <v>12009.17770520548</v>
      </c>
      <c r="T13" s="91">
        <f t="shared" si="7"/>
        <v>530.79322033898325</v>
      </c>
      <c r="U13" s="152">
        <v>7.1999999999999995E-2</v>
      </c>
      <c r="V13" s="152">
        <v>7.1999999999999995E-2</v>
      </c>
      <c r="W13" s="153">
        <f t="shared" si="8"/>
        <v>0</v>
      </c>
      <c r="X13" s="150">
        <f>SUMIFS(SAP!H:H,SAP!P:P, "BOE",SAP!R:R,Purchases!C13,SAP!V:V,Purchases!B13)</f>
        <v>11119.49</v>
      </c>
      <c r="Y13" s="154">
        <f>ROUND(J13-X13,0)</f>
        <v>1</v>
      </c>
      <c r="Z13" s="155">
        <f>ROUND(J13-P13,0)</f>
        <v>0</v>
      </c>
      <c r="AA13" s="97" t="s">
        <v>42</v>
      </c>
    </row>
    <row r="14" spans="1:27" s="156" customFormat="1" ht="12">
      <c r="C14" s="272" t="s">
        <v>44</v>
      </c>
      <c r="D14" s="272"/>
      <c r="E14" s="272"/>
      <c r="F14" s="272"/>
      <c r="G14" s="157">
        <f>SUM(G11:G13)</f>
        <v>2845798</v>
      </c>
      <c r="H14" s="157">
        <f>SUM(H11:H13)</f>
        <v>2411693.2203389835</v>
      </c>
      <c r="I14" s="157">
        <f t="shared" ref="I14:Y14" si="10">SUM(I11:I13)</f>
        <v>434104.779661017</v>
      </c>
      <c r="J14" s="157">
        <f t="shared" si="10"/>
        <v>50523</v>
      </c>
      <c r="K14" s="157">
        <f t="shared" si="10"/>
        <v>9095</v>
      </c>
      <c r="L14" s="157">
        <f t="shared" si="10"/>
        <v>5052.2700000000004</v>
      </c>
      <c r="M14" s="157">
        <f t="shared" si="10"/>
        <v>54565.73</v>
      </c>
      <c r="N14" s="157">
        <f t="shared" si="10"/>
        <v>2411.69</v>
      </c>
      <c r="O14" s="157">
        <f t="shared" si="10"/>
        <v>2912879.96</v>
      </c>
      <c r="P14" s="157">
        <f t="shared" si="10"/>
        <v>50522.660383561641</v>
      </c>
      <c r="Q14" s="157">
        <f t="shared" si="10"/>
        <v>9094.0788690410955</v>
      </c>
      <c r="R14" s="157">
        <f t="shared" si="10"/>
        <v>5052.2660383561642</v>
      </c>
      <c r="S14" s="157">
        <f t="shared" si="10"/>
        <v>54564.473214246573</v>
      </c>
      <c r="T14" s="157">
        <f t="shared" si="10"/>
        <v>2411.6932203389833</v>
      </c>
      <c r="U14" s="157"/>
      <c r="V14" s="157"/>
      <c r="W14" s="157">
        <f t="shared" si="10"/>
        <v>0</v>
      </c>
      <c r="X14" s="157">
        <f t="shared" si="10"/>
        <v>50522.879999999997</v>
      </c>
      <c r="Y14" s="157">
        <f t="shared" si="10"/>
        <v>1</v>
      </c>
      <c r="Z14" s="158"/>
      <c r="AA14" s="158"/>
    </row>
  </sheetData>
  <mergeCells count="6">
    <mergeCell ref="Y9:Z9"/>
    <mergeCell ref="C7:D7"/>
    <mergeCell ref="C14:F14"/>
    <mergeCell ref="F9:O9"/>
    <mergeCell ref="P9:T9"/>
    <mergeCell ref="U9:W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B1:AH46"/>
  <sheetViews>
    <sheetView showGridLines="0" workbookViewId="0">
      <selection activeCell="H13" sqref="H13"/>
    </sheetView>
  </sheetViews>
  <sheetFormatPr defaultColWidth="9.140625" defaultRowHeight="15"/>
  <cols>
    <col min="1" max="1" width="9.140625" style="1"/>
    <col min="2" max="2" width="7" style="1" customWidth="1"/>
    <col min="3" max="3" width="10.85546875" style="1" bestFit="1" customWidth="1"/>
    <col min="4" max="4" width="7.42578125" style="1" bestFit="1" customWidth="1"/>
    <col min="5" max="5" width="28.85546875" style="1" bestFit="1" customWidth="1"/>
    <col min="6" max="6" width="15.7109375" style="1" bestFit="1" customWidth="1"/>
    <col min="7" max="7" width="15.85546875" style="1" bestFit="1" customWidth="1"/>
    <col min="8" max="8" width="12.28515625" style="1" customWidth="1"/>
    <col min="9" max="10" width="11" style="1" bestFit="1" customWidth="1"/>
    <col min="11" max="11" width="11.42578125" style="1" bestFit="1" customWidth="1"/>
    <col min="12" max="12" width="13.7109375" style="1" bestFit="1" customWidth="1"/>
    <col min="13" max="13" width="7.7109375" style="1" customWidth="1"/>
    <col min="14" max="14" width="9.5703125" style="1" customWidth="1"/>
    <col min="15" max="15" width="16" style="1" customWidth="1"/>
    <col min="16" max="16" width="18.85546875" style="1" bestFit="1" customWidth="1"/>
    <col min="17" max="17" width="11.42578125" style="1" bestFit="1" customWidth="1"/>
    <col min="18" max="18" width="15.5703125" style="1" bestFit="1" customWidth="1"/>
    <col min="19" max="19" width="14.42578125" style="1" hidden="1" customWidth="1"/>
    <col min="20" max="20" width="14.85546875" style="1" hidden="1" customWidth="1"/>
    <col min="21" max="21" width="7.5703125" style="1" bestFit="1" customWidth="1"/>
    <col min="22" max="22" width="11.140625" style="1" bestFit="1" customWidth="1"/>
    <col min="23" max="30" width="11.42578125" style="1" bestFit="1" customWidth="1"/>
    <col min="31" max="31" width="15.7109375" style="186" bestFit="1" customWidth="1"/>
    <col min="32" max="32" width="7.5703125" style="1" customWidth="1"/>
    <col min="33" max="33" width="11.42578125" style="1" bestFit="1" customWidth="1"/>
    <col min="34" max="34" width="16.7109375" style="1" bestFit="1" customWidth="1"/>
    <col min="35" max="35" width="14.5703125" style="1" bestFit="1" customWidth="1"/>
    <col min="36" max="16384" width="9.140625" style="1"/>
  </cols>
  <sheetData>
    <row r="1" spans="2:34">
      <c r="E1" s="67"/>
      <c r="G1" s="67"/>
      <c r="H1" s="67"/>
      <c r="I1" s="113"/>
      <c r="J1" s="114" t="s">
        <v>1</v>
      </c>
    </row>
    <row r="2" spans="2:34" ht="48">
      <c r="E2" s="115" t="s">
        <v>45</v>
      </c>
      <c r="F2" s="229" t="s">
        <v>3</v>
      </c>
      <c r="G2" s="116" t="s">
        <v>46</v>
      </c>
      <c r="H2" s="116" t="s">
        <v>47</v>
      </c>
      <c r="I2" s="116" t="s">
        <v>48</v>
      </c>
      <c r="J2" s="117" t="s">
        <v>49</v>
      </c>
      <c r="M2" s="238"/>
    </row>
    <row r="3" spans="2:34">
      <c r="E3" s="118" t="s">
        <v>50</v>
      </c>
      <c r="F3" s="230" t="s">
        <v>51</v>
      </c>
      <c r="G3" s="119">
        <f>SUMIFS(O:O,C:C,"Export",D:D,F3)</f>
        <v>529624727.50399101</v>
      </c>
      <c r="H3" s="120">
        <f>SUMIFS(W:W,C:C,"Export",D:D,F3)</f>
        <v>4021172.8</v>
      </c>
      <c r="I3" s="120">
        <f>SUMIFS(AD:AD,C:C,"Export",D:D,F3)</f>
        <v>4020447.9403069108</v>
      </c>
      <c r="J3" s="121">
        <f t="shared" ref="J3:J8" si="0">H3-I3</f>
        <v>724.85969308903441</v>
      </c>
      <c r="M3" s="238"/>
    </row>
    <row r="4" spans="2:34">
      <c r="E4" s="231" t="s">
        <v>52</v>
      </c>
      <c r="F4" s="230" t="s">
        <v>51</v>
      </c>
      <c r="G4" s="233">
        <f>SUMIFS(O:O,C:C,"Domestic",D:D,F4)</f>
        <v>0</v>
      </c>
      <c r="H4" s="120">
        <f>SUMIFS(W:W,C:C,"DOMESTIC",D:D,F4)</f>
        <v>0</v>
      </c>
      <c r="I4" s="120">
        <f>SUMIFS(AD:AD,C:C,"DOMESTIC",D:D,F4)</f>
        <v>0</v>
      </c>
      <c r="J4" s="121">
        <f t="shared" si="0"/>
        <v>0</v>
      </c>
      <c r="M4" s="238"/>
    </row>
    <row r="5" spans="2:34">
      <c r="E5" s="232" t="s">
        <v>50</v>
      </c>
      <c r="F5" s="230" t="s">
        <v>53</v>
      </c>
      <c r="G5" s="233">
        <f>SUMIFS(O:O,C:C,"Export",D:D,F5)</f>
        <v>0</v>
      </c>
      <c r="H5" s="120">
        <f>SUMIFS(W:W,C:C,"Export",D:D,F5)</f>
        <v>0</v>
      </c>
      <c r="I5" s="120">
        <f>SUMIFS(AD:AD,C:C,"Export",D:D,F5)</f>
        <v>0</v>
      </c>
      <c r="J5" s="121">
        <f t="shared" si="0"/>
        <v>0</v>
      </c>
      <c r="M5" s="238"/>
    </row>
    <row r="6" spans="2:34">
      <c r="E6" s="231" t="s">
        <v>52</v>
      </c>
      <c r="F6" s="230" t="s">
        <v>53</v>
      </c>
      <c r="G6" s="233">
        <f>SUMIFS(O:O,C:C,"Domestic",D:D,F6)</f>
        <v>17921042</v>
      </c>
      <c r="H6" s="120">
        <f>SUMIFS(W:W,C:C,"DOMESTIC",D:D,F6)</f>
        <v>246280.77000000002</v>
      </c>
      <c r="I6" s="120">
        <f>SUMIFS(AD:AD,C:C,"DOMESTIC",D:D,F6)</f>
        <v>246280.76819999999</v>
      </c>
      <c r="J6" s="121">
        <f t="shared" si="0"/>
        <v>1.8000000272877514E-3</v>
      </c>
      <c r="M6" s="238"/>
    </row>
    <row r="7" spans="2:34">
      <c r="E7" s="283" t="s">
        <v>54</v>
      </c>
      <c r="F7" s="284"/>
      <c r="G7" s="122">
        <v>0</v>
      </c>
      <c r="H7" s="120">
        <f>SUMIFS(SAP!H:H,SAP!P:P, "Intt Recd",SAP!V:V, "2027/01")</f>
        <v>-53786.75</v>
      </c>
      <c r="I7" s="123">
        <f>H7</f>
        <v>-53786.75</v>
      </c>
      <c r="J7" s="121">
        <f t="shared" si="0"/>
        <v>0</v>
      </c>
      <c r="M7" s="238"/>
    </row>
    <row r="8" spans="2:34">
      <c r="E8" s="285" t="s">
        <v>55</v>
      </c>
      <c r="F8" s="286"/>
      <c r="G8" s="124">
        <v>0</v>
      </c>
      <c r="H8" s="120">
        <f>SUMIFS(SAP!H:H,SAP!P:P, "Penal interest",SAP!V:V, "2027/01")</f>
        <v>59626.400000000001</v>
      </c>
      <c r="I8" s="125">
        <f>H8</f>
        <v>59626.400000000001</v>
      </c>
      <c r="J8" s="234">
        <f t="shared" si="0"/>
        <v>0</v>
      </c>
      <c r="M8" s="238"/>
    </row>
    <row r="9" spans="2:34">
      <c r="E9" s="126" t="s">
        <v>16</v>
      </c>
      <c r="F9" s="126" t="s">
        <v>16</v>
      </c>
      <c r="G9" s="127">
        <f>SUM(G3:G8)</f>
        <v>547545769.50399101</v>
      </c>
      <c r="H9" s="127">
        <f t="shared" ref="H9:J9" si="1">SUM(H3:H8)</f>
        <v>4273293.2200000007</v>
      </c>
      <c r="I9" s="127">
        <f t="shared" si="1"/>
        <v>4272568.3585069114</v>
      </c>
      <c r="J9" s="128">
        <f t="shared" si="1"/>
        <v>724.8614930890617</v>
      </c>
    </row>
    <row r="10" spans="2:34">
      <c r="E10" s="184"/>
      <c r="F10" s="185"/>
      <c r="G10" s="185"/>
      <c r="H10" s="185"/>
      <c r="I10" s="185"/>
    </row>
    <row r="11" spans="2:34">
      <c r="O11" s="280" t="s">
        <v>56</v>
      </c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2" t="s">
        <v>57</v>
      </c>
      <c r="AA11" s="282"/>
      <c r="AB11" s="282"/>
      <c r="AC11" s="282"/>
      <c r="AD11" s="282"/>
      <c r="AE11" s="282"/>
      <c r="AF11" s="282"/>
    </row>
    <row r="12" spans="2:34" ht="36">
      <c r="C12" s="2" t="s">
        <v>58</v>
      </c>
      <c r="D12" s="2" t="s">
        <v>59</v>
      </c>
      <c r="E12" s="2" t="s">
        <v>60</v>
      </c>
      <c r="F12" s="3" t="s">
        <v>61</v>
      </c>
      <c r="G12" s="2" t="s">
        <v>62</v>
      </c>
      <c r="H12" s="4" t="s">
        <v>63</v>
      </c>
      <c r="I12" s="3" t="s">
        <v>64</v>
      </c>
      <c r="J12" s="3" t="s">
        <v>65</v>
      </c>
      <c r="K12" s="2" t="s">
        <v>66</v>
      </c>
      <c r="L12" s="5" t="s">
        <v>67</v>
      </c>
      <c r="M12" s="9" t="s">
        <v>68</v>
      </c>
      <c r="N12" s="6" t="s">
        <v>69</v>
      </c>
      <c r="O12" s="8" t="s">
        <v>70</v>
      </c>
      <c r="P12" s="7" t="s">
        <v>71</v>
      </c>
      <c r="Q12" s="7" t="s">
        <v>72</v>
      </c>
      <c r="R12" s="7" t="s">
        <v>73</v>
      </c>
      <c r="S12" s="7" t="s">
        <v>74</v>
      </c>
      <c r="T12" s="8" t="s">
        <v>75</v>
      </c>
      <c r="U12" s="7" t="s">
        <v>76</v>
      </c>
      <c r="V12" s="8" t="s">
        <v>77</v>
      </c>
      <c r="W12" s="8" t="s">
        <v>78</v>
      </c>
      <c r="X12" s="8" t="s">
        <v>79</v>
      </c>
      <c r="Y12" s="8" t="s">
        <v>80</v>
      </c>
      <c r="Z12" s="202" t="s">
        <v>81</v>
      </c>
      <c r="AA12" s="202" t="s">
        <v>82</v>
      </c>
      <c r="AB12" s="203" t="s">
        <v>83</v>
      </c>
      <c r="AC12" s="203" t="s">
        <v>84</v>
      </c>
      <c r="AD12" s="203" t="s">
        <v>85</v>
      </c>
      <c r="AE12" s="204" t="s">
        <v>86</v>
      </c>
      <c r="AF12" s="202" t="s">
        <v>87</v>
      </c>
      <c r="AG12" s="9" t="s">
        <v>88</v>
      </c>
      <c r="AH12" s="9" t="s">
        <v>89</v>
      </c>
    </row>
    <row r="13" spans="2:34">
      <c r="B13" s="48" t="s">
        <v>40</v>
      </c>
      <c r="C13" s="10" t="s">
        <v>90</v>
      </c>
      <c r="D13" s="10" t="s">
        <v>51</v>
      </c>
      <c r="E13" s="10" t="s">
        <v>91</v>
      </c>
      <c r="F13" s="11" t="s">
        <v>92</v>
      </c>
      <c r="G13" s="10" t="s">
        <v>93</v>
      </c>
      <c r="H13" s="12" t="s">
        <v>94</v>
      </c>
      <c r="I13" s="17" t="s">
        <v>92</v>
      </c>
      <c r="J13" s="17" t="s">
        <v>95</v>
      </c>
      <c r="K13" s="13">
        <f>J13-I13</f>
        <v>102</v>
      </c>
      <c r="L13" s="14">
        <v>274518.42</v>
      </c>
      <c r="M13" s="10" t="s">
        <v>96</v>
      </c>
      <c r="N13" s="15">
        <v>107.36</v>
      </c>
      <c r="O13" s="14">
        <f>L13*N13</f>
        <v>29472297.571199998</v>
      </c>
      <c r="P13" s="14">
        <v>351388.21</v>
      </c>
      <c r="Q13" s="16"/>
      <c r="R13" s="16"/>
      <c r="S13" s="16">
        <v>33972.300000000003</v>
      </c>
      <c r="T13" s="14"/>
      <c r="U13" s="14">
        <v>6115.02</v>
      </c>
      <c r="V13" s="14">
        <v>357503.23</v>
      </c>
      <c r="W13" s="17">
        <f>SUM(P13:R13)</f>
        <v>351388.21</v>
      </c>
      <c r="X13" s="17">
        <f>SUMIFS(SAP!H:H,SAP!L:L,Sales!G13,SAP!V:V,Sales!B13)</f>
        <v>351388.21</v>
      </c>
      <c r="Y13" s="17">
        <f t="shared" ref="Y13:Y27" si="2">ROUND(W13-X13,0)</f>
        <v>0</v>
      </c>
      <c r="Z13" s="18">
        <v>4.2080000000000002</v>
      </c>
      <c r="AA13" s="18">
        <v>6.2080000000000002</v>
      </c>
      <c r="AB13" s="19">
        <f>O13*Z13%*K13/360</f>
        <v>351388.37984222715</v>
      </c>
      <c r="AC13" s="19">
        <f t="shared" ref="AC13:AC45" si="3">Q13+R13</f>
        <v>0</v>
      </c>
      <c r="AD13" s="19">
        <f t="shared" ref="AD13:AD27" si="4">AB13+AC13</f>
        <v>351388.37984222715</v>
      </c>
      <c r="AE13" s="187">
        <f t="shared" ref="AE13:AE31" si="5">ROUND(W13-AD13,0)</f>
        <v>0</v>
      </c>
      <c r="AF13" s="20" t="s">
        <v>42</v>
      </c>
      <c r="AG13" s="21"/>
      <c r="AH13" s="21" t="str">
        <f t="shared" ref="AH13:AH27" si="6">IF(AF13="Excess","Clarification Required"," ")</f>
        <v xml:space="preserve"> </v>
      </c>
    </row>
    <row r="14" spans="2:34" ht="24">
      <c r="B14" s="48" t="s">
        <v>40</v>
      </c>
      <c r="C14" s="10" t="s">
        <v>90</v>
      </c>
      <c r="D14" s="10" t="s">
        <v>51</v>
      </c>
      <c r="E14" s="10" t="s">
        <v>97</v>
      </c>
      <c r="F14" s="11" t="s">
        <v>98</v>
      </c>
      <c r="G14" s="10" t="s">
        <v>99</v>
      </c>
      <c r="H14" s="12" t="s">
        <v>100</v>
      </c>
      <c r="I14" s="17" t="s">
        <v>98</v>
      </c>
      <c r="J14" s="17" t="s">
        <v>101</v>
      </c>
      <c r="K14" s="212">
        <f>J14-I14+1</f>
        <v>83</v>
      </c>
      <c r="L14" s="14">
        <v>155026.79999999999</v>
      </c>
      <c r="M14" s="10" t="s">
        <v>96</v>
      </c>
      <c r="N14" s="15">
        <v>107.15</v>
      </c>
      <c r="O14" s="14">
        <f t="shared" ref="O14:O15" si="7">L14*N14</f>
        <v>16611121.619999999</v>
      </c>
      <c r="P14" s="14">
        <v>137791.85999999999</v>
      </c>
      <c r="Q14" s="16"/>
      <c r="R14" s="16"/>
      <c r="S14" s="16">
        <v>21111.119999999999</v>
      </c>
      <c r="T14" s="14"/>
      <c r="U14" s="14">
        <v>3800</v>
      </c>
      <c r="V14" s="14">
        <v>141591.85999999999</v>
      </c>
      <c r="W14" s="17">
        <f t="shared" ref="W14:W27" si="8">SUM(P14:R14)</f>
        <v>137791.85999999999</v>
      </c>
      <c r="X14" s="17">
        <f>SUMIFS(SAP!H:H,SAP!L:L,Sales!G14,SAP!V:V,Sales!B14)</f>
        <v>137791.85999999999</v>
      </c>
      <c r="Y14" s="17">
        <f t="shared" si="2"/>
        <v>0</v>
      </c>
      <c r="Z14" s="18">
        <v>3.5790000000000002</v>
      </c>
      <c r="AA14" s="18">
        <v>5.5789999999999997</v>
      </c>
      <c r="AB14" s="19">
        <f>O14*Z14%*K14/360</f>
        <v>137068.05430756501</v>
      </c>
      <c r="AC14" s="19">
        <f t="shared" si="3"/>
        <v>0</v>
      </c>
      <c r="AD14" s="19">
        <f t="shared" si="4"/>
        <v>137068.05430756501</v>
      </c>
      <c r="AE14" s="187">
        <f t="shared" si="5"/>
        <v>724</v>
      </c>
      <c r="AF14" s="20" t="str">
        <f t="shared" ref="AF14" si="9">IF(AE14&gt;0,"Excess","Shortfall")</f>
        <v>Excess</v>
      </c>
      <c r="AG14" s="21"/>
      <c r="AH14" s="21" t="str">
        <f t="shared" si="6"/>
        <v>Clarification Required</v>
      </c>
    </row>
    <row r="15" spans="2:34">
      <c r="B15" s="48" t="s">
        <v>40</v>
      </c>
      <c r="C15" s="10" t="s">
        <v>90</v>
      </c>
      <c r="D15" s="10" t="s">
        <v>51</v>
      </c>
      <c r="E15" s="10" t="s">
        <v>102</v>
      </c>
      <c r="F15" s="11" t="s">
        <v>103</v>
      </c>
      <c r="G15" s="10" t="s">
        <v>104</v>
      </c>
      <c r="H15" s="12" t="s">
        <v>105</v>
      </c>
      <c r="I15" s="17" t="s">
        <v>103</v>
      </c>
      <c r="J15" s="17" t="s">
        <v>106</v>
      </c>
      <c r="K15" s="13">
        <f t="shared" ref="K15:K43" si="10">J15-I15</f>
        <v>53</v>
      </c>
      <c r="L15" s="14">
        <v>20892.97</v>
      </c>
      <c r="M15" s="10" t="s">
        <v>96</v>
      </c>
      <c r="N15" s="15">
        <v>108.96</v>
      </c>
      <c r="O15" s="14">
        <f t="shared" si="7"/>
        <v>2276498.0112000001</v>
      </c>
      <c r="P15" s="14">
        <v>12394.2</v>
      </c>
      <c r="Q15" s="16">
        <v>2000</v>
      </c>
      <c r="R15" s="16">
        <v>2500</v>
      </c>
      <c r="S15" s="16">
        <v>6776.5</v>
      </c>
      <c r="T15" s="14"/>
      <c r="U15" s="14">
        <v>1219.78</v>
      </c>
      <c r="V15" s="14">
        <v>13613.98</v>
      </c>
      <c r="W15" s="17">
        <f>SUM(P15:R15)</f>
        <v>16894.2</v>
      </c>
      <c r="X15" s="17">
        <f>SUMIFS(SAP!H:H,SAP!L:L,Sales!G15,SAP!V:V,Sales!B15,SAP!P:P, "lc sales")</f>
        <v>16894.2</v>
      </c>
      <c r="Y15" s="17">
        <f t="shared" si="2"/>
        <v>0</v>
      </c>
      <c r="Z15" s="18">
        <v>3.698</v>
      </c>
      <c r="AA15" s="18">
        <v>5.6980000000000004</v>
      </c>
      <c r="AB15" s="19">
        <f t="shared" ref="AB15:AB39" si="11">O15*Z15%*K15/360</f>
        <v>12393.887533531468</v>
      </c>
      <c r="AC15" s="19">
        <f t="shared" si="3"/>
        <v>4500</v>
      </c>
      <c r="AD15" s="19">
        <f t="shared" si="4"/>
        <v>16893.887533531466</v>
      </c>
      <c r="AE15" s="187">
        <f t="shared" si="5"/>
        <v>0</v>
      </c>
      <c r="AF15" s="20" t="s">
        <v>42</v>
      </c>
      <c r="AG15" s="21"/>
      <c r="AH15" s="21" t="str">
        <f t="shared" si="6"/>
        <v xml:space="preserve"> </v>
      </c>
    </row>
    <row r="16" spans="2:34">
      <c r="B16" s="48" t="s">
        <v>40</v>
      </c>
      <c r="C16" s="10" t="s">
        <v>90</v>
      </c>
      <c r="D16" s="10" t="s">
        <v>51</v>
      </c>
      <c r="E16" s="10" t="s">
        <v>102</v>
      </c>
      <c r="F16" s="11" t="s">
        <v>103</v>
      </c>
      <c r="G16" s="10" t="s">
        <v>107</v>
      </c>
      <c r="H16" s="12" t="s">
        <v>108</v>
      </c>
      <c r="I16" s="17" t="s">
        <v>103</v>
      </c>
      <c r="J16" s="17" t="s">
        <v>109</v>
      </c>
      <c r="K16" s="13">
        <f t="shared" si="10"/>
        <v>56</v>
      </c>
      <c r="L16" s="14">
        <v>19508.37</v>
      </c>
      <c r="M16" s="10" t="s">
        <v>96</v>
      </c>
      <c r="N16" s="15">
        <v>108.96</v>
      </c>
      <c r="O16" s="14">
        <f>L16*N16</f>
        <v>2125631.9951999998</v>
      </c>
      <c r="P16" s="14">
        <v>12227.49</v>
      </c>
      <c r="Q16" s="16">
        <v>2000</v>
      </c>
      <c r="R16" s="16">
        <v>2500</v>
      </c>
      <c r="S16" s="16">
        <v>6625.63</v>
      </c>
      <c r="T16" s="14"/>
      <c r="U16" s="14">
        <v>1192.6199999999999</v>
      </c>
      <c r="V16" s="14">
        <v>13420.11</v>
      </c>
      <c r="W16" s="17">
        <f t="shared" si="8"/>
        <v>16727.489999999998</v>
      </c>
      <c r="X16" s="17">
        <f>SUMIFS(SAP!H:H,SAP!L:L,Sales!G16,SAP!V:V,Sales!B16,SAP!P:P, "lc sales")</f>
        <v>16727.489999999998</v>
      </c>
      <c r="Y16" s="17">
        <f t="shared" si="2"/>
        <v>0</v>
      </c>
      <c r="Z16" s="18">
        <v>3.698</v>
      </c>
      <c r="AA16" s="18">
        <v>5.6980000000000004</v>
      </c>
      <c r="AB16" s="19">
        <f t="shared" si="11"/>
        <v>12227.5799617216</v>
      </c>
      <c r="AC16" s="19">
        <f t="shared" si="3"/>
        <v>4500</v>
      </c>
      <c r="AD16" s="19">
        <f t="shared" si="4"/>
        <v>16727.5799617216</v>
      </c>
      <c r="AE16" s="187">
        <f t="shared" si="5"/>
        <v>0</v>
      </c>
      <c r="AF16" s="20" t="s">
        <v>42</v>
      </c>
      <c r="AG16" s="21"/>
      <c r="AH16" s="21" t="str">
        <f t="shared" si="6"/>
        <v xml:space="preserve"> </v>
      </c>
    </row>
    <row r="17" spans="2:34">
      <c r="B17" s="48" t="s">
        <v>40</v>
      </c>
      <c r="C17" s="10" t="s">
        <v>90</v>
      </c>
      <c r="D17" s="10" t="s">
        <v>51</v>
      </c>
      <c r="E17" s="10" t="s">
        <v>110</v>
      </c>
      <c r="F17" s="11" t="s">
        <v>111</v>
      </c>
      <c r="G17" s="10" t="s">
        <v>112</v>
      </c>
      <c r="H17" s="12" t="s">
        <v>113</v>
      </c>
      <c r="I17" s="17" t="s">
        <v>111</v>
      </c>
      <c r="J17" s="17" t="s">
        <v>114</v>
      </c>
      <c r="K17" s="13">
        <f t="shared" si="10"/>
        <v>63</v>
      </c>
      <c r="L17" s="14">
        <v>224967.27</v>
      </c>
      <c r="M17" s="10" t="s">
        <v>96</v>
      </c>
      <c r="N17" s="15">
        <v>109.8725</v>
      </c>
      <c r="O17" s="14">
        <f>L17*N17</f>
        <v>24717716.373075001</v>
      </c>
      <c r="P17" s="14">
        <v>161907.01999999999</v>
      </c>
      <c r="Q17" s="16">
        <v>2000</v>
      </c>
      <c r="R17" s="16">
        <v>2500</v>
      </c>
      <c r="S17" s="16">
        <v>29217.72</v>
      </c>
      <c r="T17" s="14"/>
      <c r="U17" s="14">
        <v>5259.18</v>
      </c>
      <c r="V17" s="14">
        <v>167166.20000000001</v>
      </c>
      <c r="W17" s="17">
        <f t="shared" si="8"/>
        <v>166407.01999999999</v>
      </c>
      <c r="X17" s="17">
        <f>SUMIFS(SAP!H:H,SAP!L:L,Sales!G17,SAP!V:V,Sales!B17)</f>
        <v>166407.01999999999</v>
      </c>
      <c r="Y17" s="17">
        <f t="shared" si="2"/>
        <v>0</v>
      </c>
      <c r="Z17" s="18">
        <v>3.7429999999999999</v>
      </c>
      <c r="AA17" s="18">
        <v>5.7430000000000003</v>
      </c>
      <c r="AB17" s="19">
        <f t="shared" si="11"/>
        <v>161907.22167273451</v>
      </c>
      <c r="AC17" s="19">
        <f t="shared" si="3"/>
        <v>4500</v>
      </c>
      <c r="AD17" s="19">
        <f t="shared" si="4"/>
        <v>166407.22167273451</v>
      </c>
      <c r="AE17" s="187">
        <f t="shared" si="5"/>
        <v>0</v>
      </c>
      <c r="AF17" s="20" t="s">
        <v>42</v>
      </c>
      <c r="AG17" s="21"/>
      <c r="AH17" s="21" t="str">
        <f t="shared" si="6"/>
        <v xml:space="preserve"> </v>
      </c>
    </row>
    <row r="18" spans="2:34">
      <c r="B18" s="48" t="s">
        <v>40</v>
      </c>
      <c r="C18" s="10" t="s">
        <v>90</v>
      </c>
      <c r="D18" s="10" t="s">
        <v>51</v>
      </c>
      <c r="E18" s="10" t="s">
        <v>102</v>
      </c>
      <c r="F18" s="11" t="s">
        <v>111</v>
      </c>
      <c r="G18" s="10" t="s">
        <v>115</v>
      </c>
      <c r="H18" s="12" t="s">
        <v>116</v>
      </c>
      <c r="I18" s="17" t="s">
        <v>111</v>
      </c>
      <c r="J18" s="17" t="s">
        <v>117</v>
      </c>
      <c r="K18" s="13">
        <f t="shared" si="10"/>
        <v>49</v>
      </c>
      <c r="L18" s="14">
        <v>112383.45</v>
      </c>
      <c r="M18" s="10" t="s">
        <v>96</v>
      </c>
      <c r="N18" s="15">
        <v>109.8725</v>
      </c>
      <c r="O18" s="14">
        <f>L18*N18</f>
        <v>12347850.610125</v>
      </c>
      <c r="P18" s="14">
        <v>62907.5</v>
      </c>
      <c r="Q18" s="16">
        <v>2000</v>
      </c>
      <c r="R18" s="16">
        <v>2500</v>
      </c>
      <c r="S18" s="16">
        <v>16847.849999999999</v>
      </c>
      <c r="T18" s="14"/>
      <c r="U18" s="14">
        <v>3032.62</v>
      </c>
      <c r="V18" s="14">
        <v>65940.12</v>
      </c>
      <c r="W18" s="17">
        <f t="shared" si="8"/>
        <v>67407.5</v>
      </c>
      <c r="X18" s="17">
        <f>SUMIFS(SAP!H:H,SAP!L:L,Sales!G18,SAP!V:V,Sales!B18)</f>
        <v>67407.5</v>
      </c>
      <c r="Y18" s="17">
        <f t="shared" si="2"/>
        <v>0</v>
      </c>
      <c r="Z18" s="18">
        <v>3.7429999999999999</v>
      </c>
      <c r="AA18" s="18">
        <v>5.7430000000000003</v>
      </c>
      <c r="AB18" s="19">
        <f t="shared" si="11"/>
        <v>62907.839912533214</v>
      </c>
      <c r="AC18" s="19">
        <f t="shared" si="3"/>
        <v>4500</v>
      </c>
      <c r="AD18" s="19">
        <f t="shared" si="4"/>
        <v>67407.839912533207</v>
      </c>
      <c r="AE18" s="187">
        <f t="shared" si="5"/>
        <v>0</v>
      </c>
      <c r="AF18" s="20" t="s">
        <v>42</v>
      </c>
      <c r="AG18" s="21"/>
      <c r="AH18" s="21" t="str">
        <f t="shared" si="6"/>
        <v xml:space="preserve"> </v>
      </c>
    </row>
    <row r="19" spans="2:34">
      <c r="B19" s="48" t="s">
        <v>40</v>
      </c>
      <c r="C19" s="10" t="s">
        <v>90</v>
      </c>
      <c r="D19" s="10" t="s">
        <v>51</v>
      </c>
      <c r="E19" s="10" t="s">
        <v>110</v>
      </c>
      <c r="F19" s="11" t="s">
        <v>111</v>
      </c>
      <c r="G19" s="10" t="s">
        <v>118</v>
      </c>
      <c r="H19" s="12" t="s">
        <v>119</v>
      </c>
      <c r="I19" s="17" t="s">
        <v>111</v>
      </c>
      <c r="J19" s="17" t="s">
        <v>120</v>
      </c>
      <c r="K19" s="13">
        <f t="shared" si="10"/>
        <v>67</v>
      </c>
      <c r="L19" s="14">
        <v>82889.55</v>
      </c>
      <c r="M19" s="10" t="s">
        <v>96</v>
      </c>
      <c r="N19" s="15">
        <v>109.8725</v>
      </c>
      <c r="O19" s="14">
        <f t="shared" ref="O19" si="12">L19*N19</f>
        <v>9107282.0823750012</v>
      </c>
      <c r="P19" s="14">
        <v>63442.58</v>
      </c>
      <c r="Q19" s="16">
        <v>2000</v>
      </c>
      <c r="R19" s="16">
        <v>2500</v>
      </c>
      <c r="S19" s="16">
        <v>13607.28</v>
      </c>
      <c r="T19" s="14"/>
      <c r="U19" s="14">
        <v>2449.3200000000002</v>
      </c>
      <c r="V19" s="14">
        <v>65891.899999999994</v>
      </c>
      <c r="W19" s="17">
        <f t="shared" si="8"/>
        <v>67942.58</v>
      </c>
      <c r="X19" s="17">
        <f>SUMIFS(SAP!H:H,SAP!L:L,Sales!G19,SAP!V:V,Sales!B19)</f>
        <v>67942.58</v>
      </c>
      <c r="Y19" s="17">
        <f t="shared" si="2"/>
        <v>0</v>
      </c>
      <c r="Z19" s="18">
        <v>3.7429999999999999</v>
      </c>
      <c r="AA19" s="18">
        <v>5.7430000000000003</v>
      </c>
      <c r="AB19" s="19">
        <f t="shared" si="11"/>
        <v>63442.591886113478</v>
      </c>
      <c r="AC19" s="19">
        <f t="shared" si="3"/>
        <v>4500</v>
      </c>
      <c r="AD19" s="19">
        <f t="shared" si="4"/>
        <v>67942.591886113485</v>
      </c>
      <c r="AE19" s="187">
        <f t="shared" si="5"/>
        <v>0</v>
      </c>
      <c r="AF19" s="20" t="s">
        <v>42</v>
      </c>
      <c r="AG19" s="21"/>
      <c r="AH19" s="21" t="str">
        <f t="shared" si="6"/>
        <v xml:space="preserve"> </v>
      </c>
    </row>
    <row r="20" spans="2:34">
      <c r="B20" s="48" t="s">
        <v>40</v>
      </c>
      <c r="C20" s="10" t="s">
        <v>90</v>
      </c>
      <c r="D20" s="10" t="s">
        <v>51</v>
      </c>
      <c r="E20" s="10" t="s">
        <v>121</v>
      </c>
      <c r="F20" s="11" t="s">
        <v>111</v>
      </c>
      <c r="G20" s="10" t="s">
        <v>122</v>
      </c>
      <c r="H20" s="12" t="s">
        <v>123</v>
      </c>
      <c r="I20" s="17" t="s">
        <v>111</v>
      </c>
      <c r="J20" s="17" t="s">
        <v>124</v>
      </c>
      <c r="K20" s="13">
        <f t="shared" si="10"/>
        <v>46</v>
      </c>
      <c r="L20" s="14">
        <v>211833.14</v>
      </c>
      <c r="M20" s="10" t="s">
        <v>96</v>
      </c>
      <c r="N20" s="15">
        <v>109.8725</v>
      </c>
      <c r="O20" s="14">
        <f>L20*N20</f>
        <v>23274636.674650002</v>
      </c>
      <c r="P20" s="14">
        <v>111316.22</v>
      </c>
      <c r="Q20" s="16">
        <v>2000</v>
      </c>
      <c r="R20" s="16">
        <v>2500</v>
      </c>
      <c r="S20" s="16">
        <v>27774.639999999999</v>
      </c>
      <c r="T20" s="14"/>
      <c r="U20" s="14">
        <v>4999.4399999999996</v>
      </c>
      <c r="V20" s="14">
        <v>116315.66</v>
      </c>
      <c r="W20" s="17">
        <f t="shared" si="8"/>
        <v>115816.22</v>
      </c>
      <c r="X20" s="17">
        <f>SUMIFS(SAP!H:H,SAP!L:L,Sales!G20,SAP!V:V,Sales!B20)</f>
        <v>115816.22</v>
      </c>
      <c r="Y20" s="17">
        <f t="shared" si="2"/>
        <v>0</v>
      </c>
      <c r="Z20" s="18">
        <v>3.7429999999999999</v>
      </c>
      <c r="AA20" s="18">
        <v>5.7430000000000003</v>
      </c>
      <c r="AB20" s="19">
        <f t="shared" si="11"/>
        <v>111316.12203799687</v>
      </c>
      <c r="AC20" s="19">
        <f t="shared" si="3"/>
        <v>4500</v>
      </c>
      <c r="AD20" s="19">
        <f t="shared" si="4"/>
        <v>115816.12203799687</v>
      </c>
      <c r="AE20" s="187">
        <f t="shared" si="5"/>
        <v>0</v>
      </c>
      <c r="AF20" s="20" t="s">
        <v>42</v>
      </c>
      <c r="AG20" s="21"/>
      <c r="AH20" s="21" t="str">
        <f t="shared" si="6"/>
        <v xml:space="preserve"> </v>
      </c>
    </row>
    <row r="21" spans="2:34">
      <c r="B21" s="48" t="s">
        <v>40</v>
      </c>
      <c r="C21" s="10" t="s">
        <v>90</v>
      </c>
      <c r="D21" s="10" t="s">
        <v>51</v>
      </c>
      <c r="E21" s="10" t="s">
        <v>125</v>
      </c>
      <c r="F21" s="11" t="s">
        <v>111</v>
      </c>
      <c r="G21" s="10" t="s">
        <v>126</v>
      </c>
      <c r="H21" s="12" t="s">
        <v>127</v>
      </c>
      <c r="I21" s="17" t="s">
        <v>111</v>
      </c>
      <c r="J21" s="17" t="s">
        <v>128</v>
      </c>
      <c r="K21" s="13">
        <f t="shared" si="10"/>
        <v>78</v>
      </c>
      <c r="L21" s="14">
        <v>78515.47</v>
      </c>
      <c r="M21" s="10" t="s">
        <v>96</v>
      </c>
      <c r="N21" s="15">
        <v>109.8725</v>
      </c>
      <c r="O21" s="14">
        <f>L21*N21</f>
        <v>8626690.9775750004</v>
      </c>
      <c r="P21" s="14">
        <v>69961.31</v>
      </c>
      <c r="Q21" s="16">
        <v>2000</v>
      </c>
      <c r="R21" s="16">
        <v>2500</v>
      </c>
      <c r="S21" s="16">
        <v>13126.69</v>
      </c>
      <c r="T21" s="14"/>
      <c r="U21" s="14">
        <v>2362.8000000000002</v>
      </c>
      <c r="V21" s="14">
        <v>72324.11</v>
      </c>
      <c r="W21" s="17">
        <f t="shared" si="8"/>
        <v>74461.31</v>
      </c>
      <c r="X21" s="17">
        <f>SUMIFS(SAP!H:H,SAP!L:L,Sales!G21,SAP!V:V,Sales!B21)</f>
        <v>74461.31</v>
      </c>
      <c r="Y21" s="17">
        <f t="shared" si="2"/>
        <v>0</v>
      </c>
      <c r="Z21" s="18">
        <v>3.7429999999999999</v>
      </c>
      <c r="AA21" s="18">
        <v>5.7430000000000003</v>
      </c>
      <c r="AB21" s="19">
        <f t="shared" si="11"/>
        <v>69961.026046303654</v>
      </c>
      <c r="AC21" s="19">
        <f t="shared" si="3"/>
        <v>4500</v>
      </c>
      <c r="AD21" s="19">
        <f t="shared" si="4"/>
        <v>74461.026046303654</v>
      </c>
      <c r="AE21" s="187">
        <f t="shared" si="5"/>
        <v>0</v>
      </c>
      <c r="AF21" s="20" t="s">
        <v>42</v>
      </c>
      <c r="AG21" s="21"/>
      <c r="AH21" s="21" t="str">
        <f t="shared" si="6"/>
        <v xml:space="preserve"> </v>
      </c>
    </row>
    <row r="22" spans="2:34">
      <c r="B22" s="48" t="s">
        <v>40</v>
      </c>
      <c r="C22" s="10" t="s">
        <v>90</v>
      </c>
      <c r="D22" s="10" t="s">
        <v>51</v>
      </c>
      <c r="E22" s="10" t="s">
        <v>129</v>
      </c>
      <c r="F22" s="11" t="s">
        <v>111</v>
      </c>
      <c r="G22" s="10" t="s">
        <v>130</v>
      </c>
      <c r="H22" s="12" t="s">
        <v>131</v>
      </c>
      <c r="I22" s="17" t="s">
        <v>111</v>
      </c>
      <c r="J22" s="17" t="s">
        <v>128</v>
      </c>
      <c r="K22" s="13">
        <f t="shared" si="10"/>
        <v>78</v>
      </c>
      <c r="L22" s="14">
        <v>407974.55</v>
      </c>
      <c r="M22" s="10" t="s">
        <v>96</v>
      </c>
      <c r="N22" s="15">
        <v>109.8725</v>
      </c>
      <c r="O22" s="14">
        <f>L22*N22</f>
        <v>44825183.744874999</v>
      </c>
      <c r="P22" s="14">
        <v>363525.25</v>
      </c>
      <c r="Q22" s="16">
        <v>2000</v>
      </c>
      <c r="R22" s="16">
        <v>2500</v>
      </c>
      <c r="S22" s="16">
        <v>49325.18</v>
      </c>
      <c r="T22" s="14"/>
      <c r="U22" s="14">
        <v>8878.5400000000009</v>
      </c>
      <c r="V22" s="14">
        <v>372403.79</v>
      </c>
      <c r="W22" s="17">
        <f t="shared" si="8"/>
        <v>368025.25</v>
      </c>
      <c r="X22" s="17">
        <f>SUMIFS(SAP!H:H,SAP!L:L,Sales!G22,SAP!V:V,Sales!B22)</f>
        <v>368025.25</v>
      </c>
      <c r="Y22" s="17">
        <f t="shared" si="2"/>
        <v>0</v>
      </c>
      <c r="Z22" s="18">
        <v>3.7429999999999999</v>
      </c>
      <c r="AA22" s="18">
        <v>5.7430000000000003</v>
      </c>
      <c r="AB22" s="19">
        <f t="shared" si="11"/>
        <v>363524.76930697873</v>
      </c>
      <c r="AC22" s="19">
        <f t="shared" si="3"/>
        <v>4500</v>
      </c>
      <c r="AD22" s="19">
        <f t="shared" si="4"/>
        <v>368024.76930697873</v>
      </c>
      <c r="AE22" s="187">
        <f t="shared" si="5"/>
        <v>0</v>
      </c>
      <c r="AF22" s="20" t="s">
        <v>42</v>
      </c>
      <c r="AG22" s="21"/>
      <c r="AH22" s="21" t="str">
        <f t="shared" si="6"/>
        <v xml:space="preserve"> </v>
      </c>
    </row>
    <row r="23" spans="2:34">
      <c r="B23" s="48" t="s">
        <v>40</v>
      </c>
      <c r="C23" s="10" t="s">
        <v>90</v>
      </c>
      <c r="D23" s="10" t="s">
        <v>51</v>
      </c>
      <c r="E23" s="10" t="s">
        <v>132</v>
      </c>
      <c r="F23" s="11" t="s">
        <v>133</v>
      </c>
      <c r="G23" s="10" t="s">
        <v>134</v>
      </c>
      <c r="H23" s="12" t="s">
        <v>135</v>
      </c>
      <c r="I23" s="17" t="s">
        <v>133</v>
      </c>
      <c r="J23" s="17" t="s">
        <v>136</v>
      </c>
      <c r="K23" s="13">
        <f t="shared" si="10"/>
        <v>72</v>
      </c>
      <c r="L23" s="14">
        <v>89033.33</v>
      </c>
      <c r="M23" s="10" t="s">
        <v>96</v>
      </c>
      <c r="N23" s="15">
        <v>109.5808</v>
      </c>
      <c r="O23" s="14">
        <f t="shared" ref="O23:O25" si="13">L23*N23</f>
        <v>9756343.5280639995</v>
      </c>
      <c r="P23" s="14">
        <v>72275.11</v>
      </c>
      <c r="Q23" s="16">
        <v>4500</v>
      </c>
      <c r="R23" s="16"/>
      <c r="S23" s="16"/>
      <c r="T23" s="14"/>
      <c r="U23" s="14">
        <v>0</v>
      </c>
      <c r="V23" s="14">
        <v>72275.11</v>
      </c>
      <c r="W23" s="17">
        <f t="shared" si="8"/>
        <v>76775.11</v>
      </c>
      <c r="X23" s="17">
        <f>SUMIFS(SAP!H:H,SAP!L:L,Sales!G23,SAP!V:V,Sales!B23)</f>
        <v>76775.11</v>
      </c>
      <c r="Y23" s="17">
        <f t="shared" si="2"/>
        <v>0</v>
      </c>
      <c r="Z23" s="18">
        <v>3.7040000000000002</v>
      </c>
      <c r="AA23" s="18">
        <v>5.7039999999999997</v>
      </c>
      <c r="AB23" s="19">
        <f t="shared" si="11"/>
        <v>72274.992855898119</v>
      </c>
      <c r="AC23" s="19">
        <f t="shared" si="3"/>
        <v>4500</v>
      </c>
      <c r="AD23" s="19">
        <f>AB23+AC23</f>
        <v>76774.992855898119</v>
      </c>
      <c r="AE23" s="188">
        <f t="shared" si="5"/>
        <v>0</v>
      </c>
      <c r="AF23" s="20" t="s">
        <v>42</v>
      </c>
      <c r="AG23" s="21"/>
      <c r="AH23" s="21" t="str">
        <f t="shared" si="6"/>
        <v xml:space="preserve"> </v>
      </c>
    </row>
    <row r="24" spans="2:34">
      <c r="B24" s="48" t="s">
        <v>40</v>
      </c>
      <c r="C24" s="10" t="s">
        <v>90</v>
      </c>
      <c r="D24" s="10" t="s">
        <v>51</v>
      </c>
      <c r="E24" s="10" t="s">
        <v>137</v>
      </c>
      <c r="F24" s="11" t="s">
        <v>133</v>
      </c>
      <c r="G24" s="10" t="s">
        <v>138</v>
      </c>
      <c r="H24" s="12" t="s">
        <v>139</v>
      </c>
      <c r="I24" s="17" t="s">
        <v>133</v>
      </c>
      <c r="J24" s="17" t="s">
        <v>140</v>
      </c>
      <c r="K24" s="13">
        <f t="shared" si="10"/>
        <v>78</v>
      </c>
      <c r="L24" s="14">
        <v>134807.20000000001</v>
      </c>
      <c r="M24" s="10" t="s">
        <v>96</v>
      </c>
      <c r="N24" s="15">
        <v>109.5808</v>
      </c>
      <c r="O24" s="14">
        <f t="shared" si="13"/>
        <v>14772280.821760001</v>
      </c>
      <c r="P24" s="14">
        <v>118552.18</v>
      </c>
      <c r="Q24" s="16">
        <v>4500</v>
      </c>
      <c r="R24" s="16"/>
      <c r="S24" s="16"/>
      <c r="T24" s="14"/>
      <c r="U24" s="14">
        <v>0</v>
      </c>
      <c r="V24" s="14">
        <v>118552.18</v>
      </c>
      <c r="W24" s="17">
        <f t="shared" si="8"/>
        <v>123052.18</v>
      </c>
      <c r="X24" s="17">
        <f>SUMIFS(SAP!H:H,SAP!L:L,Sales!G24,SAP!V:V,Sales!B24)</f>
        <v>123052.18</v>
      </c>
      <c r="Y24" s="17">
        <f t="shared" si="2"/>
        <v>0</v>
      </c>
      <c r="Z24" s="18">
        <v>3.7040000000000002</v>
      </c>
      <c r="AA24" s="18">
        <v>5.7039999999999997</v>
      </c>
      <c r="AB24" s="19">
        <f t="shared" si="11"/>
        <v>118552.47768823127</v>
      </c>
      <c r="AC24" s="19">
        <f t="shared" si="3"/>
        <v>4500</v>
      </c>
      <c r="AD24" s="19">
        <f t="shared" si="4"/>
        <v>123052.47768823127</v>
      </c>
      <c r="AE24" s="188">
        <f t="shared" si="5"/>
        <v>0</v>
      </c>
      <c r="AF24" s="20" t="s">
        <v>42</v>
      </c>
      <c r="AG24" s="21"/>
      <c r="AH24" s="21" t="str">
        <f t="shared" si="6"/>
        <v xml:space="preserve"> </v>
      </c>
    </row>
    <row r="25" spans="2:34">
      <c r="B25" s="48" t="s">
        <v>40</v>
      </c>
      <c r="C25" s="10" t="s">
        <v>90</v>
      </c>
      <c r="D25" s="10" t="s">
        <v>51</v>
      </c>
      <c r="E25" s="10" t="s">
        <v>137</v>
      </c>
      <c r="F25" s="11" t="s">
        <v>133</v>
      </c>
      <c r="G25" s="10" t="s">
        <v>141</v>
      </c>
      <c r="H25" s="12" t="s">
        <v>142</v>
      </c>
      <c r="I25" s="17" t="s">
        <v>133</v>
      </c>
      <c r="J25" s="17" t="s">
        <v>136</v>
      </c>
      <c r="K25" s="13">
        <f t="shared" si="10"/>
        <v>72</v>
      </c>
      <c r="L25" s="14">
        <v>132199.51999999999</v>
      </c>
      <c r="M25" s="10" t="s">
        <v>96</v>
      </c>
      <c r="N25" s="15">
        <v>109.5808</v>
      </c>
      <c r="O25" s="14">
        <f t="shared" si="13"/>
        <v>14486529.161215998</v>
      </c>
      <c r="P25" s="14">
        <v>107315.76</v>
      </c>
      <c r="Q25" s="16">
        <v>4500</v>
      </c>
      <c r="R25" s="16"/>
      <c r="S25" s="16"/>
      <c r="T25" s="14"/>
      <c r="U25" s="14">
        <v>0</v>
      </c>
      <c r="V25" s="14">
        <v>107315.76</v>
      </c>
      <c r="W25" s="17">
        <f t="shared" si="8"/>
        <v>111815.76</v>
      </c>
      <c r="X25" s="17">
        <f>SUMIFS(SAP!H:H,SAP!L:L,Sales!G25,SAP!V:V,Sales!B25)</f>
        <v>111815.76</v>
      </c>
      <c r="Y25" s="17">
        <f t="shared" si="2"/>
        <v>0</v>
      </c>
      <c r="Z25" s="18">
        <v>3.7040000000000002</v>
      </c>
      <c r="AA25" s="18">
        <v>5.7039999999999997</v>
      </c>
      <c r="AB25" s="19">
        <f t="shared" si="11"/>
        <v>107316.20802628812</v>
      </c>
      <c r="AC25" s="19">
        <f t="shared" si="3"/>
        <v>4500</v>
      </c>
      <c r="AD25" s="19">
        <f t="shared" si="4"/>
        <v>111816.20802628812</v>
      </c>
      <c r="AE25" s="188">
        <f t="shared" si="5"/>
        <v>0</v>
      </c>
      <c r="AF25" s="20" t="s">
        <v>42</v>
      </c>
      <c r="AG25" s="21"/>
      <c r="AH25" s="21" t="str">
        <f t="shared" si="6"/>
        <v xml:space="preserve"> </v>
      </c>
    </row>
    <row r="26" spans="2:34">
      <c r="B26" s="48" t="s">
        <v>40</v>
      </c>
      <c r="C26" s="10" t="s">
        <v>90</v>
      </c>
      <c r="D26" s="10" t="s">
        <v>51</v>
      </c>
      <c r="E26" s="10" t="s">
        <v>121</v>
      </c>
      <c r="F26" s="11" t="s">
        <v>133</v>
      </c>
      <c r="G26" s="10" t="s">
        <v>143</v>
      </c>
      <c r="H26" s="12" t="s">
        <v>144</v>
      </c>
      <c r="I26" s="17" t="s">
        <v>133</v>
      </c>
      <c r="J26" s="17" t="s">
        <v>124</v>
      </c>
      <c r="K26" s="13">
        <f t="shared" si="10"/>
        <v>42</v>
      </c>
      <c r="L26" s="14">
        <v>120378.52</v>
      </c>
      <c r="M26" s="10" t="s">
        <v>96</v>
      </c>
      <c r="N26" s="15">
        <v>109.5808</v>
      </c>
      <c r="O26" s="14">
        <f>L26*N26</f>
        <v>13191174.524416</v>
      </c>
      <c r="P26" s="14">
        <v>57003.93</v>
      </c>
      <c r="Q26" s="16">
        <v>4500</v>
      </c>
      <c r="R26" s="16"/>
      <c r="S26" s="16"/>
      <c r="T26" s="14"/>
      <c r="U26" s="14">
        <v>0</v>
      </c>
      <c r="V26" s="14">
        <v>57003.93</v>
      </c>
      <c r="W26" s="17">
        <f t="shared" si="8"/>
        <v>61503.93</v>
      </c>
      <c r="X26" s="17">
        <f>SUMIFS(SAP!H:H,SAP!L:L,Sales!G26,SAP!V:V,Sales!B26)</f>
        <v>61503.93</v>
      </c>
      <c r="Y26" s="17">
        <f t="shared" si="2"/>
        <v>0</v>
      </c>
      <c r="Z26" s="18">
        <v>3.7040000000000002</v>
      </c>
      <c r="AA26" s="18">
        <v>5.7039999999999997</v>
      </c>
      <c r="AB26" s="19">
        <f t="shared" si="11"/>
        <v>57003.462178176349</v>
      </c>
      <c r="AC26" s="19">
        <f t="shared" si="3"/>
        <v>4500</v>
      </c>
      <c r="AD26" s="19">
        <f t="shared" si="4"/>
        <v>61503.462178176349</v>
      </c>
      <c r="AE26" s="188">
        <f t="shared" si="5"/>
        <v>0</v>
      </c>
      <c r="AF26" s="20" t="s">
        <v>42</v>
      </c>
      <c r="AG26" s="21"/>
      <c r="AH26" s="21" t="str">
        <f t="shared" si="6"/>
        <v xml:space="preserve"> </v>
      </c>
    </row>
    <row r="27" spans="2:34">
      <c r="B27" s="48" t="s">
        <v>40</v>
      </c>
      <c r="C27" s="10" t="s">
        <v>90</v>
      </c>
      <c r="D27" s="10" t="s">
        <v>51</v>
      </c>
      <c r="E27" s="10" t="s">
        <v>132</v>
      </c>
      <c r="F27" s="11" t="s">
        <v>145</v>
      </c>
      <c r="G27" s="10" t="s">
        <v>146</v>
      </c>
      <c r="H27" s="12" t="s">
        <v>147</v>
      </c>
      <c r="I27" s="17" t="s">
        <v>145</v>
      </c>
      <c r="J27" s="17" t="s">
        <v>140</v>
      </c>
      <c r="K27" s="13">
        <f t="shared" si="10"/>
        <v>77</v>
      </c>
      <c r="L27" s="14">
        <v>63932.31</v>
      </c>
      <c r="M27" s="10" t="s">
        <v>96</v>
      </c>
      <c r="N27" s="15">
        <v>109.5395</v>
      </c>
      <c r="O27" s="14">
        <f>L27*N27</f>
        <v>7003113.271245</v>
      </c>
      <c r="P27" s="14">
        <v>55481.760000000002</v>
      </c>
      <c r="Q27" s="16">
        <v>2000</v>
      </c>
      <c r="R27" s="16">
        <v>2500</v>
      </c>
      <c r="S27" s="16"/>
      <c r="T27" s="14"/>
      <c r="U27" s="14">
        <v>810</v>
      </c>
      <c r="V27" s="14">
        <v>55481.760000000002</v>
      </c>
      <c r="W27" s="17">
        <f t="shared" si="8"/>
        <v>59981.760000000002</v>
      </c>
      <c r="X27" s="17">
        <f>SUMIFS(SAP!H:H,SAP!L:L,Sales!G27,SAP!V:V,Sales!B27)</f>
        <v>59981.760000000002</v>
      </c>
      <c r="Y27" s="17">
        <f t="shared" si="2"/>
        <v>0</v>
      </c>
      <c r="Z27" s="18">
        <v>3.7040000000000002</v>
      </c>
      <c r="AA27" s="18">
        <v>5.7039999999999997</v>
      </c>
      <c r="AB27" s="19">
        <f t="shared" si="11"/>
        <v>55481.775829590115</v>
      </c>
      <c r="AC27" s="19">
        <f t="shared" si="3"/>
        <v>4500</v>
      </c>
      <c r="AD27" s="19">
        <f t="shared" si="4"/>
        <v>59981.775829590115</v>
      </c>
      <c r="AE27" s="187">
        <f t="shared" si="5"/>
        <v>0</v>
      </c>
      <c r="AF27" s="20" t="s">
        <v>42</v>
      </c>
      <c r="AG27" s="21"/>
      <c r="AH27" s="21" t="str">
        <f t="shared" si="6"/>
        <v xml:space="preserve"> </v>
      </c>
    </row>
    <row r="28" spans="2:34">
      <c r="B28" s="48" t="s">
        <v>40</v>
      </c>
      <c r="C28" s="10" t="s">
        <v>90</v>
      </c>
      <c r="D28" s="10" t="s">
        <v>51</v>
      </c>
      <c r="E28" s="10" t="s">
        <v>137</v>
      </c>
      <c r="F28" s="11" t="s">
        <v>145</v>
      </c>
      <c r="G28" s="10" t="s">
        <v>148</v>
      </c>
      <c r="H28" s="12" t="s">
        <v>149</v>
      </c>
      <c r="I28" s="17" t="s">
        <v>145</v>
      </c>
      <c r="J28" s="17" t="s">
        <v>150</v>
      </c>
      <c r="K28" s="13">
        <f t="shared" si="10"/>
        <v>101</v>
      </c>
      <c r="L28" s="14">
        <v>89772.92</v>
      </c>
      <c r="M28" s="10" t="s">
        <v>96</v>
      </c>
      <c r="N28" s="15">
        <v>109.5395</v>
      </c>
      <c r="O28" s="14">
        <f>L28*N28</f>
        <v>9833680.7703399993</v>
      </c>
      <c r="P28" s="14">
        <v>114908.03</v>
      </c>
      <c r="Q28" s="16">
        <v>2000</v>
      </c>
      <c r="R28" s="16">
        <v>2500</v>
      </c>
      <c r="S28" s="16"/>
      <c r="T28" s="14"/>
      <c r="U28" s="14">
        <v>810</v>
      </c>
      <c r="V28" s="14">
        <v>114908.03</v>
      </c>
      <c r="W28" s="17">
        <f t="shared" ref="W28:W43" si="14">SUM(P28:R28)</f>
        <v>119408.03</v>
      </c>
      <c r="X28" s="17">
        <f>SUMIFS(SAP!H:H,SAP!L:L,Sales!G28,SAP!V:V,Sales!B28)</f>
        <v>119408.03</v>
      </c>
      <c r="Y28" s="17">
        <f t="shared" ref="Y28:Y39" si="15">ROUND(W28-X28,0)</f>
        <v>0</v>
      </c>
      <c r="Z28" s="18">
        <v>4.165</v>
      </c>
      <c r="AA28" s="18">
        <v>6.165</v>
      </c>
      <c r="AB28" s="19">
        <f t="shared" si="11"/>
        <v>114907.92559041877</v>
      </c>
      <c r="AC28" s="19">
        <f t="shared" si="3"/>
        <v>4500</v>
      </c>
      <c r="AD28" s="19">
        <f t="shared" ref="AD28:AD39" si="16">AB28+AC28</f>
        <v>119407.92559041877</v>
      </c>
      <c r="AE28" s="187">
        <f t="shared" si="5"/>
        <v>0</v>
      </c>
      <c r="AF28" s="20" t="s">
        <v>42</v>
      </c>
      <c r="AG28" s="21"/>
      <c r="AH28" s="21" t="str">
        <f t="shared" ref="AH28:AH39" si="17">IF(AF28="Excess","Clarification Required"," ")</f>
        <v xml:space="preserve"> </v>
      </c>
    </row>
    <row r="29" spans="2:34">
      <c r="B29" s="48" t="s">
        <v>40</v>
      </c>
      <c r="C29" s="10" t="s">
        <v>90</v>
      </c>
      <c r="D29" s="10" t="s">
        <v>51</v>
      </c>
      <c r="E29" s="10" t="s">
        <v>151</v>
      </c>
      <c r="F29" s="11" t="s">
        <v>145</v>
      </c>
      <c r="G29" s="10" t="s">
        <v>152</v>
      </c>
      <c r="H29" s="12" t="s">
        <v>153</v>
      </c>
      <c r="I29" s="17" t="s">
        <v>145</v>
      </c>
      <c r="J29" s="17" t="s">
        <v>140</v>
      </c>
      <c r="K29" s="13">
        <f t="shared" si="10"/>
        <v>77</v>
      </c>
      <c r="L29" s="14">
        <v>36362.07</v>
      </c>
      <c r="M29" s="10" t="s">
        <v>96</v>
      </c>
      <c r="N29" s="15">
        <v>109.5395</v>
      </c>
      <c r="O29" s="14">
        <f t="shared" ref="O29:O30" si="18">L29*N29</f>
        <v>3983082.966765</v>
      </c>
      <c r="P29" s="14">
        <v>31556.14</v>
      </c>
      <c r="Q29" s="16">
        <v>2000</v>
      </c>
      <c r="R29" s="16">
        <v>2500</v>
      </c>
      <c r="S29" s="16"/>
      <c r="T29" s="14"/>
      <c r="U29" s="14">
        <v>810</v>
      </c>
      <c r="V29" s="14">
        <v>31556.14</v>
      </c>
      <c r="W29" s="17">
        <f t="shared" si="14"/>
        <v>36056.14</v>
      </c>
      <c r="X29" s="17">
        <f>SUMIFS(SAP!H:H,SAP!L:L,Sales!G29,SAP!V:V,Sales!B29)</f>
        <v>36056.14</v>
      </c>
      <c r="Y29" s="17">
        <f t="shared" si="15"/>
        <v>0</v>
      </c>
      <c r="Z29" s="18">
        <v>3.7040000000000002</v>
      </c>
      <c r="AA29" s="18">
        <v>5.7039999999999997</v>
      </c>
      <c r="AB29" s="19">
        <f t="shared" si="11"/>
        <v>31555.75352180867</v>
      </c>
      <c r="AC29" s="19">
        <f t="shared" si="3"/>
        <v>4500</v>
      </c>
      <c r="AD29" s="19">
        <f t="shared" si="16"/>
        <v>36055.75352180867</v>
      </c>
      <c r="AE29" s="187">
        <f t="shared" si="5"/>
        <v>0</v>
      </c>
      <c r="AF29" s="20" t="s">
        <v>42</v>
      </c>
      <c r="AG29" s="21"/>
      <c r="AH29" s="21" t="str">
        <f t="shared" si="17"/>
        <v xml:space="preserve"> </v>
      </c>
    </row>
    <row r="30" spans="2:34">
      <c r="B30" s="48" t="s">
        <v>40</v>
      </c>
      <c r="C30" s="10" t="s">
        <v>90</v>
      </c>
      <c r="D30" s="10" t="s">
        <v>51</v>
      </c>
      <c r="E30" s="10" t="s">
        <v>154</v>
      </c>
      <c r="F30" s="11" t="s">
        <v>155</v>
      </c>
      <c r="G30" s="10" t="s">
        <v>156</v>
      </c>
      <c r="H30" s="12" t="s">
        <v>157</v>
      </c>
      <c r="I30" s="17" t="s">
        <v>158</v>
      </c>
      <c r="J30" s="17" t="s">
        <v>159</v>
      </c>
      <c r="K30" s="13">
        <f t="shared" si="10"/>
        <v>87</v>
      </c>
      <c r="L30" s="14">
        <v>78392.41</v>
      </c>
      <c r="M30" s="10" t="s">
        <v>96</v>
      </c>
      <c r="N30" s="15">
        <v>109.98</v>
      </c>
      <c r="O30" s="14">
        <f t="shared" si="18"/>
        <v>8621597.2518000007</v>
      </c>
      <c r="P30" s="14">
        <v>76278.83</v>
      </c>
      <c r="Q30" s="16">
        <v>2000</v>
      </c>
      <c r="R30" s="16">
        <v>2500</v>
      </c>
      <c r="S30" s="16">
        <v>13121.6</v>
      </c>
      <c r="T30" s="14"/>
      <c r="U30" s="14">
        <v>2361.88</v>
      </c>
      <c r="V30" s="14">
        <v>78640.710000000006</v>
      </c>
      <c r="W30" s="17">
        <f t="shared" si="14"/>
        <v>80778.83</v>
      </c>
      <c r="X30" s="17">
        <f>SUMIFS(SAP!H:H,SAP!L:L,Sales!G30,SAP!V:V,Sales!B30)</f>
        <v>80778.83</v>
      </c>
      <c r="Y30" s="17">
        <f t="shared" si="15"/>
        <v>0</v>
      </c>
      <c r="Z30" s="18">
        <v>3.661</v>
      </c>
      <c r="AA30" s="18">
        <v>5.6609999999999996</v>
      </c>
      <c r="AB30" s="19">
        <f t="shared" si="11"/>
        <v>76278.863218862869</v>
      </c>
      <c r="AC30" s="19">
        <f t="shared" si="3"/>
        <v>4500</v>
      </c>
      <c r="AD30" s="19">
        <f t="shared" si="16"/>
        <v>80778.863218862869</v>
      </c>
      <c r="AE30" s="187">
        <f t="shared" si="5"/>
        <v>0</v>
      </c>
      <c r="AF30" s="20" t="s">
        <v>42</v>
      </c>
      <c r="AG30" s="21"/>
      <c r="AH30" s="21" t="str">
        <f t="shared" si="17"/>
        <v xml:space="preserve"> </v>
      </c>
    </row>
    <row r="31" spans="2:34">
      <c r="B31" s="48" t="s">
        <v>40</v>
      </c>
      <c r="C31" s="10" t="s">
        <v>90</v>
      </c>
      <c r="D31" s="10" t="s">
        <v>51</v>
      </c>
      <c r="E31" s="10" t="s">
        <v>137</v>
      </c>
      <c r="F31" s="11" t="s">
        <v>155</v>
      </c>
      <c r="G31" s="10" t="s">
        <v>160</v>
      </c>
      <c r="H31" s="12" t="s">
        <v>161</v>
      </c>
      <c r="I31" s="17" t="s">
        <v>162</v>
      </c>
      <c r="J31" s="17" t="s">
        <v>163</v>
      </c>
      <c r="K31" s="13">
        <f t="shared" si="10"/>
        <v>79</v>
      </c>
      <c r="L31" s="14">
        <v>198877.3</v>
      </c>
      <c r="M31" s="10" t="s">
        <v>96</v>
      </c>
      <c r="N31" s="15">
        <v>110.515</v>
      </c>
      <c r="O31" s="14">
        <f>L31*N31</f>
        <v>21978924.809499998</v>
      </c>
      <c r="P31" s="14">
        <v>176672.59</v>
      </c>
      <c r="Q31" s="16">
        <v>2000</v>
      </c>
      <c r="R31" s="16">
        <v>2500</v>
      </c>
      <c r="S31" s="16">
        <v>26478.93</v>
      </c>
      <c r="T31" s="14"/>
      <c r="U31" s="14">
        <v>4766.2</v>
      </c>
      <c r="V31" s="14">
        <v>181438.79</v>
      </c>
      <c r="W31" s="17">
        <f t="shared" si="14"/>
        <v>181172.59</v>
      </c>
      <c r="X31" s="17">
        <f>SUMIFS(SAP!H:H,SAP!L:L,Sales!G31,SAP!V:V,Sales!B31)</f>
        <v>181172.59</v>
      </c>
      <c r="Y31" s="17">
        <f t="shared" si="15"/>
        <v>0</v>
      </c>
      <c r="Z31" s="18">
        <v>3.6629999999999998</v>
      </c>
      <c r="AA31" s="18">
        <v>5.6630000000000003</v>
      </c>
      <c r="AB31" s="19">
        <f t="shared" si="11"/>
        <v>176672.09234996335</v>
      </c>
      <c r="AC31" s="19">
        <f t="shared" si="3"/>
        <v>4500</v>
      </c>
      <c r="AD31" s="19">
        <f t="shared" si="16"/>
        <v>181172.09234996335</v>
      </c>
      <c r="AE31" s="187">
        <f t="shared" si="5"/>
        <v>0</v>
      </c>
      <c r="AF31" s="20" t="s">
        <v>42</v>
      </c>
      <c r="AG31" s="21"/>
      <c r="AH31" s="21" t="str">
        <f t="shared" si="17"/>
        <v xml:space="preserve"> </v>
      </c>
    </row>
    <row r="32" spans="2:34">
      <c r="B32" s="48" t="s">
        <v>40</v>
      </c>
      <c r="C32" s="10" t="s">
        <v>90</v>
      </c>
      <c r="D32" s="10" t="s">
        <v>51</v>
      </c>
      <c r="E32" s="10" t="s">
        <v>129</v>
      </c>
      <c r="F32" s="11" t="s">
        <v>158</v>
      </c>
      <c r="G32" s="10" t="s">
        <v>164</v>
      </c>
      <c r="H32" s="12" t="s">
        <v>165</v>
      </c>
      <c r="I32" s="17" t="s">
        <v>158</v>
      </c>
      <c r="J32" s="17" t="s">
        <v>159</v>
      </c>
      <c r="K32" s="13">
        <f t="shared" si="10"/>
        <v>87</v>
      </c>
      <c r="L32" s="14">
        <v>123770.74</v>
      </c>
      <c r="M32" s="10" t="s">
        <v>96</v>
      </c>
      <c r="N32" s="15">
        <v>109.98</v>
      </c>
      <c r="O32" s="14">
        <f>L32*N32</f>
        <v>13612305.985200001</v>
      </c>
      <c r="P32" s="14">
        <f>117138.6+3296.18</f>
        <v>120434.78</v>
      </c>
      <c r="Q32" s="16">
        <v>2000</v>
      </c>
      <c r="R32" s="16">
        <v>2500</v>
      </c>
      <c r="S32" s="16">
        <v>17739.86</v>
      </c>
      <c r="T32" s="14"/>
      <c r="U32" s="14">
        <v>3193.18</v>
      </c>
      <c r="V32" s="14">
        <v>120331.78</v>
      </c>
      <c r="W32" s="17">
        <f t="shared" si="14"/>
        <v>124934.78</v>
      </c>
      <c r="X32" s="17">
        <f>SUMIFS(SAP!H:H,SAP!L:L,Sales!G32,SAP!V:V,Sales!B32)</f>
        <v>124934.78</v>
      </c>
      <c r="Y32" s="17">
        <f>ROUND(W32-X32,0)</f>
        <v>0</v>
      </c>
      <c r="Z32" s="18">
        <v>3.661</v>
      </c>
      <c r="AA32" s="18">
        <v>5.6609999999999996</v>
      </c>
      <c r="AB32" s="19">
        <f t="shared" si="11"/>
        <v>120433.74284522492</v>
      </c>
      <c r="AC32" s="19">
        <f t="shared" si="3"/>
        <v>4500</v>
      </c>
      <c r="AD32" s="19">
        <f t="shared" si="16"/>
        <v>124933.74284522492</v>
      </c>
      <c r="AE32" s="187">
        <v>0</v>
      </c>
      <c r="AF32" s="20" t="s">
        <v>42</v>
      </c>
      <c r="AG32" s="21"/>
      <c r="AH32" s="21" t="str">
        <f t="shared" si="17"/>
        <v xml:space="preserve"> </v>
      </c>
    </row>
    <row r="33" spans="2:34">
      <c r="B33" s="48" t="s">
        <v>40</v>
      </c>
      <c r="C33" s="10" t="s">
        <v>90</v>
      </c>
      <c r="D33" s="10" t="s">
        <v>51</v>
      </c>
      <c r="E33" s="10" t="s">
        <v>166</v>
      </c>
      <c r="F33" s="11" t="s">
        <v>158</v>
      </c>
      <c r="G33" s="10" t="s">
        <v>167</v>
      </c>
      <c r="H33" s="12" t="s">
        <v>168</v>
      </c>
      <c r="I33" s="17" t="s">
        <v>158</v>
      </c>
      <c r="J33" s="17" t="s">
        <v>95</v>
      </c>
      <c r="K33" s="13">
        <f t="shared" si="10"/>
        <v>84</v>
      </c>
      <c r="L33" s="14">
        <v>595198.71</v>
      </c>
      <c r="M33" s="10" t="s">
        <v>96</v>
      </c>
      <c r="N33" s="15">
        <v>109.98</v>
      </c>
      <c r="O33" s="14">
        <f>L33*N33</f>
        <v>65459954.125799999</v>
      </c>
      <c r="P33" s="14">
        <v>559181.21</v>
      </c>
      <c r="Q33" s="16">
        <v>2000</v>
      </c>
      <c r="R33" s="16">
        <v>2500</v>
      </c>
      <c r="S33" s="16">
        <v>60000</v>
      </c>
      <c r="T33" s="14"/>
      <c r="U33" s="14">
        <v>10800</v>
      </c>
      <c r="V33" s="14">
        <v>569981.21</v>
      </c>
      <c r="W33" s="17">
        <f t="shared" si="14"/>
        <v>563681.21</v>
      </c>
      <c r="X33" s="17">
        <f>SUMIFS(SAP!H:H,SAP!L:L,Sales!G33,SAP!V:V,Sales!B33)</f>
        <v>563681.21</v>
      </c>
      <c r="Y33" s="17">
        <f t="shared" si="15"/>
        <v>0</v>
      </c>
      <c r="Z33" s="18">
        <v>3.661</v>
      </c>
      <c r="AA33" s="18">
        <v>5.6609999999999996</v>
      </c>
      <c r="AB33" s="19">
        <f t="shared" si="11"/>
        <v>559180.74812729226</v>
      </c>
      <c r="AC33" s="19">
        <f t="shared" si="3"/>
        <v>4500</v>
      </c>
      <c r="AD33" s="19">
        <f t="shared" si="16"/>
        <v>563680.74812729226</v>
      </c>
      <c r="AE33" s="187">
        <f t="shared" ref="AE33:AE43" si="19">ROUND(W33-AD33,0)</f>
        <v>0</v>
      </c>
      <c r="AF33" s="20" t="s">
        <v>42</v>
      </c>
      <c r="AG33" s="21"/>
      <c r="AH33" s="21" t="str">
        <f t="shared" si="17"/>
        <v xml:space="preserve"> </v>
      </c>
    </row>
    <row r="34" spans="2:34">
      <c r="B34" s="48" t="s">
        <v>40</v>
      </c>
      <c r="C34" s="10" t="s">
        <v>90</v>
      </c>
      <c r="D34" s="10" t="s">
        <v>51</v>
      </c>
      <c r="E34" s="10" t="s">
        <v>169</v>
      </c>
      <c r="F34" s="11" t="s">
        <v>158</v>
      </c>
      <c r="G34" s="10" t="s">
        <v>170</v>
      </c>
      <c r="H34" s="12" t="s">
        <v>171</v>
      </c>
      <c r="I34" s="17" t="s">
        <v>158</v>
      </c>
      <c r="J34" s="17" t="s">
        <v>159</v>
      </c>
      <c r="K34" s="13">
        <f t="shared" si="10"/>
        <v>87</v>
      </c>
      <c r="L34" s="14">
        <v>121261.37</v>
      </c>
      <c r="M34" s="10" t="s">
        <v>96</v>
      </c>
      <c r="N34" s="15">
        <v>109.98</v>
      </c>
      <c r="O34" s="14">
        <f>L34*N34</f>
        <v>13336325.4726</v>
      </c>
      <c r="P34" s="14">
        <v>117992.04</v>
      </c>
      <c r="Q34" s="16">
        <v>2000</v>
      </c>
      <c r="R34" s="16">
        <v>2500</v>
      </c>
      <c r="S34" s="16">
        <v>17836.330000000002</v>
      </c>
      <c r="T34" s="14"/>
      <c r="U34" s="14">
        <v>3210.54</v>
      </c>
      <c r="V34" s="14">
        <v>121202.58</v>
      </c>
      <c r="W34" s="17">
        <f t="shared" si="14"/>
        <v>122492.04</v>
      </c>
      <c r="X34" s="17">
        <f>SUMIFS(SAP!H:H,SAP!L:L,Sales!G34,SAP!V:V,Sales!B34)</f>
        <v>122492.04</v>
      </c>
      <c r="Y34" s="17">
        <f t="shared" si="15"/>
        <v>0</v>
      </c>
      <c r="Z34" s="18">
        <v>3.661</v>
      </c>
      <c r="AA34" s="18">
        <v>5.6609999999999996</v>
      </c>
      <c r="AB34" s="19">
        <f t="shared" si="11"/>
        <v>117992.02825837245</v>
      </c>
      <c r="AC34" s="19">
        <f t="shared" si="3"/>
        <v>4500</v>
      </c>
      <c r="AD34" s="19">
        <f t="shared" si="16"/>
        <v>122492.02825837245</v>
      </c>
      <c r="AE34" s="187">
        <f t="shared" si="19"/>
        <v>0</v>
      </c>
      <c r="AF34" s="20" t="s">
        <v>42</v>
      </c>
      <c r="AG34" s="21"/>
      <c r="AH34" s="21" t="str">
        <f t="shared" si="17"/>
        <v xml:space="preserve"> </v>
      </c>
    </row>
    <row r="35" spans="2:34">
      <c r="B35" s="48" t="s">
        <v>40</v>
      </c>
      <c r="C35" s="10" t="s">
        <v>90</v>
      </c>
      <c r="D35" s="10" t="s">
        <v>51</v>
      </c>
      <c r="E35" s="10" t="s">
        <v>102</v>
      </c>
      <c r="F35" s="11" t="s">
        <v>158</v>
      </c>
      <c r="G35" s="10" t="s">
        <v>172</v>
      </c>
      <c r="H35" s="12" t="s">
        <v>173</v>
      </c>
      <c r="I35" s="17" t="s">
        <v>158</v>
      </c>
      <c r="J35" s="17" t="s">
        <v>174</v>
      </c>
      <c r="K35" s="13">
        <f t="shared" si="10"/>
        <v>56</v>
      </c>
      <c r="L35" s="14">
        <v>143980.48000000001</v>
      </c>
      <c r="M35" s="10" t="s">
        <v>96</v>
      </c>
      <c r="N35" s="15">
        <v>109.98</v>
      </c>
      <c r="O35" s="14">
        <f>L35*N35</f>
        <v>15834973.190400003</v>
      </c>
      <c r="P35" s="14">
        <v>90178.1</v>
      </c>
      <c r="Q35" s="16">
        <v>2000</v>
      </c>
      <c r="R35" s="16">
        <v>2500</v>
      </c>
      <c r="S35" s="16">
        <v>20334.97</v>
      </c>
      <c r="T35" s="14"/>
      <c r="U35" s="14">
        <v>3660.3</v>
      </c>
      <c r="V35" s="14">
        <v>93838.399999999994</v>
      </c>
      <c r="W35" s="17">
        <f t="shared" si="14"/>
        <v>94678.1</v>
      </c>
      <c r="X35" s="17">
        <f>SUMIFS(SAP!H:H,SAP!L:L,Sales!G35,SAP!V:V,Sales!B35)</f>
        <v>94678.1</v>
      </c>
      <c r="Y35" s="17">
        <f t="shared" si="15"/>
        <v>0</v>
      </c>
      <c r="Z35" s="18">
        <v>3.661</v>
      </c>
      <c r="AA35" s="18">
        <v>5.6609999999999996</v>
      </c>
      <c r="AB35" s="19">
        <f t="shared" si="11"/>
        <v>90178.412877862414</v>
      </c>
      <c r="AC35" s="19">
        <f t="shared" si="3"/>
        <v>4500</v>
      </c>
      <c r="AD35" s="19">
        <f t="shared" si="16"/>
        <v>94678.412877862414</v>
      </c>
      <c r="AE35" s="187">
        <f t="shared" si="19"/>
        <v>0</v>
      </c>
      <c r="AF35" s="20" t="s">
        <v>42</v>
      </c>
      <c r="AG35" s="21"/>
      <c r="AH35" s="21" t="str">
        <f t="shared" si="17"/>
        <v xml:space="preserve"> </v>
      </c>
    </row>
    <row r="36" spans="2:34">
      <c r="B36" s="48" t="s">
        <v>40</v>
      </c>
      <c r="C36" s="10" t="s">
        <v>90</v>
      </c>
      <c r="D36" s="10" t="s">
        <v>51</v>
      </c>
      <c r="E36" s="10" t="s">
        <v>169</v>
      </c>
      <c r="F36" s="11" t="s">
        <v>175</v>
      </c>
      <c r="G36" s="10" t="s">
        <v>176</v>
      </c>
      <c r="H36" s="12" t="s">
        <v>177</v>
      </c>
      <c r="I36" s="17" t="s">
        <v>162</v>
      </c>
      <c r="J36" s="17" t="s">
        <v>159</v>
      </c>
      <c r="K36" s="13">
        <f t="shared" si="10"/>
        <v>83</v>
      </c>
      <c r="L36" s="14">
        <v>152902.85999999999</v>
      </c>
      <c r="M36" s="10" t="s">
        <v>96</v>
      </c>
      <c r="N36" s="15">
        <v>110.515</v>
      </c>
      <c r="O36" s="14">
        <f t="shared" ref="O36:O37" si="20">L36*N36</f>
        <v>16898059.572899997</v>
      </c>
      <c r="P36" s="14">
        <v>142708.01999999999</v>
      </c>
      <c r="Q36" s="16">
        <v>2000</v>
      </c>
      <c r="R36" s="16">
        <v>2500</v>
      </c>
      <c r="S36" s="16">
        <v>21398.06</v>
      </c>
      <c r="T36" s="14"/>
      <c r="U36" s="14">
        <v>3851.66</v>
      </c>
      <c r="V36" s="14">
        <v>146559.67999999999</v>
      </c>
      <c r="W36" s="17">
        <f t="shared" si="14"/>
        <v>147208.01999999999</v>
      </c>
      <c r="X36" s="17">
        <f>SUMIFS(SAP!H:H,SAP!L:L,Sales!G36,SAP!V:V,Sales!B36)</f>
        <v>147208.01999999999</v>
      </c>
      <c r="Y36" s="17">
        <f t="shared" si="15"/>
        <v>0</v>
      </c>
      <c r="Z36" s="18">
        <v>3.6629999999999998</v>
      </c>
      <c r="AA36" s="18">
        <v>5.6630000000000003</v>
      </c>
      <c r="AB36" s="19">
        <f t="shared" si="11"/>
        <v>142708.33760803367</v>
      </c>
      <c r="AC36" s="19">
        <f t="shared" si="3"/>
        <v>4500</v>
      </c>
      <c r="AD36" s="19">
        <f t="shared" si="16"/>
        <v>147208.33760803367</v>
      </c>
      <c r="AE36" s="187">
        <f t="shared" si="19"/>
        <v>0</v>
      </c>
      <c r="AF36" s="20" t="s">
        <v>42</v>
      </c>
      <c r="AG36" s="21"/>
      <c r="AH36" s="21" t="str">
        <f t="shared" si="17"/>
        <v xml:space="preserve"> </v>
      </c>
    </row>
    <row r="37" spans="2:34">
      <c r="B37" s="48" t="s">
        <v>40</v>
      </c>
      <c r="C37" s="10" t="s">
        <v>90</v>
      </c>
      <c r="D37" s="10" t="s">
        <v>51</v>
      </c>
      <c r="E37" s="10" t="s">
        <v>102</v>
      </c>
      <c r="F37" s="11" t="s">
        <v>158</v>
      </c>
      <c r="G37" s="10" t="s">
        <v>178</v>
      </c>
      <c r="H37" s="12" t="s">
        <v>179</v>
      </c>
      <c r="I37" s="17" t="s">
        <v>162</v>
      </c>
      <c r="J37" s="17" t="s">
        <v>174</v>
      </c>
      <c r="K37" s="13">
        <f t="shared" si="10"/>
        <v>52</v>
      </c>
      <c r="L37" s="14">
        <v>67278.720000000001</v>
      </c>
      <c r="M37" s="10" t="s">
        <v>96</v>
      </c>
      <c r="N37" s="15">
        <v>110.515</v>
      </c>
      <c r="O37" s="14">
        <f t="shared" si="20"/>
        <v>7435307.7407999998</v>
      </c>
      <c r="P37" s="14">
        <v>39340.019999999997</v>
      </c>
      <c r="Q37" s="16">
        <v>2000</v>
      </c>
      <c r="R37" s="16">
        <v>2500</v>
      </c>
      <c r="S37" s="16">
        <v>11935.31</v>
      </c>
      <c r="T37" s="14"/>
      <c r="U37" s="14">
        <v>2148.36</v>
      </c>
      <c r="V37" s="14">
        <v>41488.379999999997</v>
      </c>
      <c r="W37" s="17">
        <f t="shared" si="14"/>
        <v>43840.02</v>
      </c>
      <c r="X37" s="17">
        <f>SUMIFS(SAP!H:H,SAP!L:L,Sales!G37,SAP!V:V,Sales!B37)</f>
        <v>43840.02</v>
      </c>
      <c r="Y37" s="17">
        <f t="shared" si="15"/>
        <v>0</v>
      </c>
      <c r="Z37" s="18">
        <v>3.6629999999999998</v>
      </c>
      <c r="AA37" s="18">
        <v>5.6630000000000003</v>
      </c>
      <c r="AB37" s="19">
        <f t="shared" si="11"/>
        <v>39340.213256572795</v>
      </c>
      <c r="AC37" s="19">
        <f t="shared" si="3"/>
        <v>4500</v>
      </c>
      <c r="AD37" s="19">
        <f t="shared" si="16"/>
        <v>43840.213256572795</v>
      </c>
      <c r="AE37" s="187">
        <f t="shared" si="19"/>
        <v>0</v>
      </c>
      <c r="AF37" s="20" t="s">
        <v>42</v>
      </c>
      <c r="AG37" s="21"/>
      <c r="AH37" s="21" t="str">
        <f t="shared" si="17"/>
        <v xml:space="preserve"> </v>
      </c>
    </row>
    <row r="38" spans="2:34">
      <c r="B38" s="48" t="s">
        <v>40</v>
      </c>
      <c r="C38" s="10" t="s">
        <v>90</v>
      </c>
      <c r="D38" s="10" t="s">
        <v>51</v>
      </c>
      <c r="E38" s="10" t="s">
        <v>110</v>
      </c>
      <c r="F38" s="11" t="s">
        <v>162</v>
      </c>
      <c r="G38" s="10" t="s">
        <v>180</v>
      </c>
      <c r="H38" s="12" t="s">
        <v>181</v>
      </c>
      <c r="I38" s="17" t="s">
        <v>162</v>
      </c>
      <c r="J38" s="17" t="s">
        <v>174</v>
      </c>
      <c r="K38" s="13">
        <f t="shared" si="10"/>
        <v>52</v>
      </c>
      <c r="L38" s="14">
        <v>409750.63</v>
      </c>
      <c r="M38" s="10" t="s">
        <v>96</v>
      </c>
      <c r="N38" s="15">
        <v>110.515</v>
      </c>
      <c r="O38" s="14">
        <f t="shared" ref="O38" si="21">L38*N38</f>
        <v>45283590.874449998</v>
      </c>
      <c r="P38" s="14">
        <v>239595.41</v>
      </c>
      <c r="Q38" s="16">
        <v>2000</v>
      </c>
      <c r="R38" s="16">
        <v>2500</v>
      </c>
      <c r="S38" s="16">
        <v>49783.59</v>
      </c>
      <c r="T38" s="14"/>
      <c r="U38" s="14">
        <v>8961.0400000000009</v>
      </c>
      <c r="V38" s="14">
        <v>248556.45</v>
      </c>
      <c r="W38" s="17">
        <f t="shared" si="14"/>
        <v>244095.41</v>
      </c>
      <c r="X38" s="17">
        <f>SUMIFS(SAP!H:H,SAP!L:L,Sales!G38,SAP!V:V,Sales!B38)</f>
        <v>244095.41</v>
      </c>
      <c r="Y38" s="17">
        <f t="shared" si="15"/>
        <v>0</v>
      </c>
      <c r="Z38" s="18">
        <v>3.6629999999999998</v>
      </c>
      <c r="AA38" s="18">
        <v>5.6630000000000003</v>
      </c>
      <c r="AB38" s="19">
        <f t="shared" si="11"/>
        <v>239595.47931671489</v>
      </c>
      <c r="AC38" s="19">
        <f t="shared" si="3"/>
        <v>4500</v>
      </c>
      <c r="AD38" s="19">
        <f t="shared" si="16"/>
        <v>244095.47931671489</v>
      </c>
      <c r="AE38" s="187">
        <f t="shared" si="19"/>
        <v>0</v>
      </c>
      <c r="AF38" s="20" t="s">
        <v>42</v>
      </c>
      <c r="AG38" s="21"/>
      <c r="AH38" s="21" t="str">
        <f t="shared" si="17"/>
        <v xml:space="preserve"> </v>
      </c>
    </row>
    <row r="39" spans="2:34">
      <c r="B39" s="48" t="s">
        <v>40</v>
      </c>
      <c r="C39" s="10" t="s">
        <v>90</v>
      </c>
      <c r="D39" s="10" t="s">
        <v>51</v>
      </c>
      <c r="E39" s="10" t="s">
        <v>102</v>
      </c>
      <c r="F39" s="11" t="s">
        <v>182</v>
      </c>
      <c r="G39" s="10" t="s">
        <v>183</v>
      </c>
      <c r="H39" s="12" t="s">
        <v>184</v>
      </c>
      <c r="I39" s="17" t="s">
        <v>182</v>
      </c>
      <c r="J39" s="17" t="s">
        <v>174</v>
      </c>
      <c r="K39" s="13">
        <f t="shared" si="10"/>
        <v>50</v>
      </c>
      <c r="L39" s="14">
        <v>397529.59</v>
      </c>
      <c r="M39" s="10" t="s">
        <v>96</v>
      </c>
      <c r="N39" s="15">
        <v>110.91</v>
      </c>
      <c r="O39" s="14">
        <f>L39*N39</f>
        <v>44090006.826899998</v>
      </c>
      <c r="P39" s="14">
        <v>223511.38</v>
      </c>
      <c r="Q39" s="16">
        <v>2000</v>
      </c>
      <c r="R39" s="16">
        <v>2500</v>
      </c>
      <c r="S39" s="16">
        <v>48590.01</v>
      </c>
      <c r="T39" s="14"/>
      <c r="U39" s="14">
        <v>8746.2000000000007</v>
      </c>
      <c r="V39" s="14">
        <v>232257.58</v>
      </c>
      <c r="W39" s="17">
        <f t="shared" si="14"/>
        <v>228011.38</v>
      </c>
      <c r="X39" s="17">
        <f>SUMIFS(SAP!H:H,SAP!L:L,Sales!G39,SAP!V:V,Sales!B39)</f>
        <v>228011.38</v>
      </c>
      <c r="Y39" s="17">
        <f t="shared" si="15"/>
        <v>0</v>
      </c>
      <c r="Z39" s="18">
        <v>3.65</v>
      </c>
      <c r="AA39" s="18">
        <v>5.65</v>
      </c>
      <c r="AB39" s="19">
        <f t="shared" si="11"/>
        <v>223511.84016414583</v>
      </c>
      <c r="AC39" s="19">
        <f t="shared" si="3"/>
        <v>4500</v>
      </c>
      <c r="AD39" s="19">
        <f t="shared" si="16"/>
        <v>228011.84016414583</v>
      </c>
      <c r="AE39" s="187">
        <f t="shared" si="19"/>
        <v>0</v>
      </c>
      <c r="AF39" s="20" t="s">
        <v>42</v>
      </c>
      <c r="AG39" s="21"/>
      <c r="AH39" s="21" t="str">
        <f t="shared" si="17"/>
        <v xml:space="preserve"> </v>
      </c>
    </row>
    <row r="40" spans="2:34">
      <c r="B40" s="48" t="s">
        <v>40</v>
      </c>
      <c r="C40" s="10" t="s">
        <v>90</v>
      </c>
      <c r="D40" s="10" t="s">
        <v>51</v>
      </c>
      <c r="E40" s="10" t="s">
        <v>121</v>
      </c>
      <c r="F40" s="266">
        <v>46129</v>
      </c>
      <c r="G40" s="10" t="s">
        <v>185</v>
      </c>
      <c r="H40" s="265">
        <v>5400514099</v>
      </c>
      <c r="I40" s="267">
        <v>46129</v>
      </c>
      <c r="J40" s="267">
        <v>46178</v>
      </c>
      <c r="K40" s="13">
        <f t="shared" si="10"/>
        <v>49</v>
      </c>
      <c r="L40" s="14">
        <v>123340.16</v>
      </c>
      <c r="M40" s="10" t="s">
        <v>96</v>
      </c>
      <c r="N40" s="15">
        <v>109.41</v>
      </c>
      <c r="O40" s="14">
        <f>L40*N40</f>
        <v>13494646.9056</v>
      </c>
      <c r="P40" s="14">
        <v>68695.259999999995</v>
      </c>
      <c r="Q40" s="16">
        <v>2000</v>
      </c>
      <c r="R40" s="16">
        <v>2500</v>
      </c>
      <c r="S40" s="16"/>
      <c r="T40" s="14"/>
      <c r="U40" s="14">
        <f>P40*0.18+Q40*0.18+R40*0.18</f>
        <v>13175.146799999999</v>
      </c>
      <c r="V40" s="14">
        <v>232257.58</v>
      </c>
      <c r="W40" s="17">
        <f t="shared" si="14"/>
        <v>73195.259999999995</v>
      </c>
      <c r="X40" s="17">
        <f>SUMIFS(SAP!H:H,SAP!L:L,Sales!G40,SAP!V:V,Sales!B40,SAP!P:P, "sales")</f>
        <v>73195.259999999995</v>
      </c>
      <c r="Y40" s="17">
        <f t="shared" ref="Y40" si="22">ROUND(W40-X40,0)</f>
        <v>0</v>
      </c>
      <c r="Z40" s="18">
        <v>3.74</v>
      </c>
      <c r="AA40" s="18">
        <v>5.74</v>
      </c>
      <c r="AB40" s="19">
        <f t="shared" ref="AB40" si="23">O40*Z40%*K40/360</f>
        <v>68695.249775562668</v>
      </c>
      <c r="AC40" s="19">
        <f t="shared" si="3"/>
        <v>4500</v>
      </c>
      <c r="AD40" s="19">
        <f t="shared" ref="AD40" si="24">AB40+AC40</f>
        <v>73195.249775562668</v>
      </c>
      <c r="AE40" s="187">
        <f t="shared" si="19"/>
        <v>0</v>
      </c>
      <c r="AF40" s="20" t="s">
        <v>42</v>
      </c>
      <c r="AG40" s="21"/>
      <c r="AH40" s="21" t="str">
        <f t="shared" ref="AH40" si="25">IF(AF40="Excess","Clarification Required"," ")</f>
        <v xml:space="preserve"> </v>
      </c>
    </row>
    <row r="41" spans="2:34">
      <c r="B41" s="48" t="s">
        <v>40</v>
      </c>
      <c r="C41" s="10" t="s">
        <v>90</v>
      </c>
      <c r="D41" s="10" t="s">
        <v>51</v>
      </c>
      <c r="E41" s="10" t="s">
        <v>132</v>
      </c>
      <c r="F41" s="266">
        <v>46129</v>
      </c>
      <c r="G41" s="10" t="s">
        <v>186</v>
      </c>
      <c r="H41" s="265">
        <v>5400514095</v>
      </c>
      <c r="I41" s="267">
        <v>46129</v>
      </c>
      <c r="J41" s="267">
        <v>46210</v>
      </c>
      <c r="K41" s="13">
        <f t="shared" si="10"/>
        <v>81</v>
      </c>
      <c r="L41" s="14">
        <v>44029.98</v>
      </c>
      <c r="M41" s="10" t="s">
        <v>96</v>
      </c>
      <c r="N41" s="15">
        <v>109.41</v>
      </c>
      <c r="O41" s="14">
        <f>L41*N41</f>
        <v>4817320.1118000001</v>
      </c>
      <c r="P41" s="14">
        <v>40537.5</v>
      </c>
      <c r="Q41" s="16">
        <v>2000</v>
      </c>
      <c r="R41" s="16">
        <v>2500</v>
      </c>
      <c r="S41" s="16"/>
      <c r="T41" s="14"/>
      <c r="U41" s="14">
        <f>P41*0.18+Q41*0.18+R41*0.18</f>
        <v>8106.75</v>
      </c>
      <c r="V41" s="14">
        <v>232257.58</v>
      </c>
      <c r="W41" s="17">
        <f t="shared" si="14"/>
        <v>45037.5</v>
      </c>
      <c r="X41" s="17">
        <f>SUMIFS(SAP!H:H,SAP!L:L,Sales!G41,SAP!V:V,Sales!B41)</f>
        <v>45037.5</v>
      </c>
      <c r="Y41" s="17">
        <f t="shared" ref="Y41" si="26">ROUND(W41-X41,0)</f>
        <v>0</v>
      </c>
      <c r="Z41" s="18">
        <v>3.74</v>
      </c>
      <c r="AA41" s="18">
        <v>5.74</v>
      </c>
      <c r="AB41" s="19">
        <f t="shared" ref="AB41" si="27">O41*Z41%*K41/360</f>
        <v>40537.748740797004</v>
      </c>
      <c r="AC41" s="19">
        <f t="shared" si="3"/>
        <v>4500</v>
      </c>
      <c r="AD41" s="19">
        <f t="shared" ref="AD41" si="28">AB41+AC41</f>
        <v>45037.748740797004</v>
      </c>
      <c r="AE41" s="187">
        <f t="shared" si="19"/>
        <v>0</v>
      </c>
      <c r="AF41" s="20" t="s">
        <v>42</v>
      </c>
      <c r="AG41" s="21"/>
      <c r="AH41" s="21"/>
    </row>
    <row r="42" spans="2:34">
      <c r="B42" s="48" t="s">
        <v>40</v>
      </c>
      <c r="C42" s="10" t="s">
        <v>90</v>
      </c>
      <c r="D42" s="10" t="s">
        <v>51</v>
      </c>
      <c r="E42" s="10" t="s">
        <v>121</v>
      </c>
      <c r="F42" s="266">
        <v>46132</v>
      </c>
      <c r="G42" s="10" t="s">
        <v>187</v>
      </c>
      <c r="H42" s="265">
        <v>5400514100</v>
      </c>
      <c r="I42" s="267">
        <v>46132</v>
      </c>
      <c r="J42" s="267">
        <v>46178</v>
      </c>
      <c r="K42" s="13">
        <f t="shared" si="10"/>
        <v>46</v>
      </c>
      <c r="L42" s="14">
        <v>20855.88</v>
      </c>
      <c r="M42" s="10" t="s">
        <v>96</v>
      </c>
      <c r="N42" s="15">
        <v>109.5808</v>
      </c>
      <c r="O42" s="14">
        <f>L42*N42</f>
        <v>2285404.015104</v>
      </c>
      <c r="P42" s="14">
        <v>10816.72</v>
      </c>
      <c r="Q42" s="16">
        <v>2000</v>
      </c>
      <c r="R42" s="16">
        <v>2500</v>
      </c>
      <c r="S42" s="16"/>
      <c r="T42" s="14"/>
      <c r="U42" s="14">
        <f>P42*0.18+Q42*0.18+R42*0.18</f>
        <v>2757.0095999999999</v>
      </c>
      <c r="V42" s="14">
        <v>232257.58</v>
      </c>
      <c r="W42" s="17">
        <f t="shared" si="14"/>
        <v>15316.72</v>
      </c>
      <c r="X42" s="17">
        <f>SUMIFS(SAP!H:H,SAP!L:L,Sales!G42,SAP!V:V,Sales!B42)</f>
        <v>15316.72</v>
      </c>
      <c r="Y42" s="17">
        <f t="shared" ref="Y42" si="29">ROUND(W42-X42,0)</f>
        <v>0</v>
      </c>
      <c r="Z42" s="18">
        <v>3.7040000000000002</v>
      </c>
      <c r="AA42" s="18">
        <v>5.7039999999999997</v>
      </c>
      <c r="AB42" s="19">
        <f t="shared" ref="AB42" si="30">O42*Z42%*K42/360</f>
        <v>10816.563269707776</v>
      </c>
      <c r="AC42" s="19">
        <f t="shared" si="3"/>
        <v>4500</v>
      </c>
      <c r="AD42" s="19">
        <f t="shared" ref="AD42" si="31">AB42+AC42</f>
        <v>15316.563269707776</v>
      </c>
      <c r="AE42" s="187">
        <f t="shared" si="19"/>
        <v>0</v>
      </c>
      <c r="AF42" s="20" t="s">
        <v>42</v>
      </c>
      <c r="AG42" s="21"/>
      <c r="AH42" s="21"/>
    </row>
    <row r="43" spans="2:34">
      <c r="B43" s="48" t="s">
        <v>40</v>
      </c>
      <c r="C43" s="10" t="s">
        <v>90</v>
      </c>
      <c r="D43" s="10" t="s">
        <v>51</v>
      </c>
      <c r="E43" s="10" t="s">
        <v>137</v>
      </c>
      <c r="F43" s="266">
        <v>46132</v>
      </c>
      <c r="G43" s="10" t="s">
        <v>188</v>
      </c>
      <c r="H43" s="265">
        <v>5400514105</v>
      </c>
      <c r="I43" s="267">
        <v>46132</v>
      </c>
      <c r="J43" s="267">
        <v>46210</v>
      </c>
      <c r="K43" s="13">
        <f t="shared" si="10"/>
        <v>78</v>
      </c>
      <c r="L43" s="14">
        <v>91851.82</v>
      </c>
      <c r="M43" s="10" t="s">
        <v>96</v>
      </c>
      <c r="N43" s="15">
        <v>109.5808</v>
      </c>
      <c r="O43" s="14">
        <f>L43*N43</f>
        <v>10065195.917056</v>
      </c>
      <c r="P43" s="14">
        <v>80776.39</v>
      </c>
      <c r="Q43" s="16">
        <v>2000</v>
      </c>
      <c r="R43" s="16">
        <v>2500</v>
      </c>
      <c r="S43" s="16"/>
      <c r="T43" s="14"/>
      <c r="U43" s="14">
        <f>P43*0.18+Q43*0.18+R43*0.18</f>
        <v>15349.750199999999</v>
      </c>
      <c r="V43" s="14">
        <v>232257.58</v>
      </c>
      <c r="W43" s="17">
        <f t="shared" si="14"/>
        <v>85276.39</v>
      </c>
      <c r="X43" s="17">
        <f>SUMIFS(SAP!H:H,SAP!L:L,Sales!G43,SAP!V:V,Sales!B43)</f>
        <v>85276.39</v>
      </c>
      <c r="Y43" s="17">
        <f t="shared" ref="Y43" si="32">ROUND(W43-X43,0)</f>
        <v>0</v>
      </c>
      <c r="Z43" s="18">
        <v>3.7040000000000002</v>
      </c>
      <c r="AA43" s="18">
        <v>5.7039999999999997</v>
      </c>
      <c r="AB43" s="19">
        <f t="shared" ref="AB43" si="33">O43*Z43%*K43/360</f>
        <v>80776.552299680086</v>
      </c>
      <c r="AC43" s="19">
        <f t="shared" si="3"/>
        <v>4500</v>
      </c>
      <c r="AD43" s="19">
        <f t="shared" ref="AD43" si="34">AB43+AC43</f>
        <v>85276.552299680086</v>
      </c>
      <c r="AE43" s="187">
        <f t="shared" si="19"/>
        <v>0</v>
      </c>
      <c r="AF43" s="20" t="s">
        <v>42</v>
      </c>
      <c r="AG43" s="21"/>
      <c r="AH43" s="21"/>
    </row>
    <row r="44" spans="2:34" ht="14.25" customHeight="1">
      <c r="B44" s="48" t="s">
        <v>40</v>
      </c>
      <c r="C44" s="10" t="s">
        <v>189</v>
      </c>
      <c r="D44" s="10" t="s">
        <v>190</v>
      </c>
      <c r="E44" s="10" t="s">
        <v>191</v>
      </c>
      <c r="F44" s="112">
        <v>46128</v>
      </c>
      <c r="G44" s="10" t="s">
        <v>192</v>
      </c>
      <c r="H44" s="12"/>
      <c r="I44" s="112">
        <v>46128</v>
      </c>
      <c r="J44" s="111">
        <v>46202</v>
      </c>
      <c r="K44" s="13">
        <f t="shared" ref="K44:K45" si="35">J44-I44</f>
        <v>74</v>
      </c>
      <c r="L44" s="14">
        <v>0</v>
      </c>
      <c r="M44" s="10" t="s">
        <v>193</v>
      </c>
      <c r="N44" s="15">
        <v>0</v>
      </c>
      <c r="O44" s="14">
        <v>8170745</v>
      </c>
      <c r="P44" s="14">
        <v>120927.03</v>
      </c>
      <c r="Q44" s="16"/>
      <c r="R44" s="14">
        <v>1250</v>
      </c>
      <c r="S44" s="16"/>
      <c r="T44" s="14"/>
      <c r="U44" s="14">
        <v>225</v>
      </c>
      <c r="V44" s="14">
        <f>SUM(P44:U44)</f>
        <v>122402.03</v>
      </c>
      <c r="W44" s="17">
        <f>SUM(P44:T44)</f>
        <v>122177.03</v>
      </c>
      <c r="X44" s="17">
        <f>SUMIFS(SAP!H:H,SAP!L:L,Sales!G44,SAP!V:V,Sales!B44,SAP!P:P, "LC Sales")</f>
        <v>122177.03</v>
      </c>
      <c r="Y44" s="17">
        <f t="shared" ref="Y44:Y45" si="36">ROUND(W44-X44,0)</f>
        <v>0</v>
      </c>
      <c r="Z44" s="18">
        <v>7.3</v>
      </c>
      <c r="AA44" s="18">
        <v>7.3</v>
      </c>
      <c r="AB44" s="19">
        <f>O44*Z44%*K44/365</f>
        <v>120927.02600000001</v>
      </c>
      <c r="AC44" s="19">
        <f t="shared" si="3"/>
        <v>1250</v>
      </c>
      <c r="AD44" s="19">
        <f>AB44+AC44</f>
        <v>122177.02600000001</v>
      </c>
      <c r="AE44" s="187">
        <f>ROUND(P44-AB44,0)</f>
        <v>0</v>
      </c>
      <c r="AF44" s="20" t="s">
        <v>42</v>
      </c>
      <c r="AG44" s="21"/>
      <c r="AH44" s="21" t="str">
        <f t="shared" ref="AH44:AH45" si="37">IF(AF44="Excess","Clarification Required"," ")</f>
        <v xml:space="preserve"> </v>
      </c>
    </row>
    <row r="45" spans="2:34">
      <c r="B45" s="48" t="s">
        <v>40</v>
      </c>
      <c r="C45" s="159" t="s">
        <v>189</v>
      </c>
      <c r="D45" s="159" t="s">
        <v>190</v>
      </c>
      <c r="E45" s="159" t="s">
        <v>191</v>
      </c>
      <c r="F45" s="160">
        <v>46128</v>
      </c>
      <c r="G45" s="159" t="s">
        <v>194</v>
      </c>
      <c r="H45" s="161"/>
      <c r="I45" s="160">
        <v>46128</v>
      </c>
      <c r="J45" s="162">
        <v>46191</v>
      </c>
      <c r="K45" s="163">
        <f t="shared" si="35"/>
        <v>63</v>
      </c>
      <c r="L45" s="164">
        <v>0</v>
      </c>
      <c r="M45" s="159" t="s">
        <v>193</v>
      </c>
      <c r="N45" s="165">
        <v>0</v>
      </c>
      <c r="O45" s="164">
        <v>9750297</v>
      </c>
      <c r="P45" s="164">
        <v>122853.74</v>
      </c>
      <c r="Q45" s="166"/>
      <c r="R45" s="164">
        <v>1250</v>
      </c>
      <c r="S45" s="166"/>
      <c r="T45" s="164"/>
      <c r="U45" s="164">
        <v>225</v>
      </c>
      <c r="V45" s="164">
        <f>SUM(P45:U45)</f>
        <v>124328.74</v>
      </c>
      <c r="W45" s="167">
        <f>SUM(P45:T45)</f>
        <v>124103.74</v>
      </c>
      <c r="X45" s="167">
        <f>SUMIFS(SAP!H:H,SAP!L:L,Sales!G45,SAP!V:V,Sales!B45,SAP!P:P, "LC Sales")</f>
        <v>124103.74</v>
      </c>
      <c r="Y45" s="167">
        <f t="shared" si="36"/>
        <v>0</v>
      </c>
      <c r="Z45" s="168">
        <v>7.3</v>
      </c>
      <c r="AA45" s="168">
        <v>7.3</v>
      </c>
      <c r="AB45" s="169">
        <f t="shared" ref="AB45" si="38">O45*Z45%*K45/365</f>
        <v>122853.74219999999</v>
      </c>
      <c r="AC45" s="207">
        <f t="shared" si="3"/>
        <v>1250</v>
      </c>
      <c r="AD45" s="169">
        <f t="shared" ref="AD45" si="39">AB45+AC45</f>
        <v>124103.74219999999</v>
      </c>
      <c r="AE45" s="187">
        <f>ROUND(P45-AB45,0)</f>
        <v>0</v>
      </c>
      <c r="AF45" s="20" t="s">
        <v>42</v>
      </c>
      <c r="AG45" s="170"/>
      <c r="AH45" s="170" t="str">
        <f t="shared" si="37"/>
        <v xml:space="preserve"> </v>
      </c>
    </row>
    <row r="46" spans="2:34">
      <c r="C46" s="279" t="s">
        <v>44</v>
      </c>
      <c r="D46" s="279"/>
      <c r="E46" s="279"/>
      <c r="F46" s="279"/>
      <c r="G46" s="279"/>
      <c r="H46" s="279"/>
      <c r="I46" s="279"/>
      <c r="J46" s="279"/>
      <c r="K46" s="279"/>
      <c r="L46" s="172">
        <f>SUM(L13:L45)</f>
        <v>4824016.5100000007</v>
      </c>
      <c r="M46" s="172"/>
      <c r="N46" s="172">
        <f t="shared" ref="N46:AE46" si="40">SUM(N13:N45)</f>
        <v>3399.4582999999993</v>
      </c>
      <c r="O46" s="172">
        <f t="shared" si="40"/>
        <v>547545769.50399101</v>
      </c>
      <c r="P46" s="172">
        <f t="shared" si="40"/>
        <v>4134453.57</v>
      </c>
      <c r="Q46" s="172">
        <f t="shared" si="40"/>
        <v>68000</v>
      </c>
      <c r="R46" s="172">
        <f t="shared" si="40"/>
        <v>65000</v>
      </c>
      <c r="S46" s="172">
        <f t="shared" si="40"/>
        <v>505603.56999999995</v>
      </c>
      <c r="T46" s="172">
        <f t="shared" si="40"/>
        <v>0</v>
      </c>
      <c r="U46" s="172">
        <f t="shared" si="40"/>
        <v>133277.33660000001</v>
      </c>
      <c r="V46" s="172">
        <f t="shared" si="40"/>
        <v>4953320.5200000005</v>
      </c>
      <c r="W46" s="172">
        <f t="shared" si="40"/>
        <v>4267453.5699999994</v>
      </c>
      <c r="X46" s="172">
        <f t="shared" si="40"/>
        <v>4267453.5699999994</v>
      </c>
      <c r="Y46" s="172">
        <f t="shared" si="40"/>
        <v>0</v>
      </c>
      <c r="Z46" s="172">
        <f t="shared" si="40"/>
        <v>130.12499999999997</v>
      </c>
      <c r="AA46" s="172">
        <f t="shared" si="40"/>
        <v>192.12500000000009</v>
      </c>
      <c r="AB46" s="172">
        <f t="shared" si="40"/>
        <v>4133728.7085069111</v>
      </c>
      <c r="AC46" s="172">
        <f t="shared" si="40"/>
        <v>133000</v>
      </c>
      <c r="AD46" s="172">
        <f t="shared" si="40"/>
        <v>4266728.7085069111</v>
      </c>
      <c r="AE46" s="172">
        <f t="shared" si="40"/>
        <v>724</v>
      </c>
      <c r="AF46" s="172"/>
      <c r="AG46" s="172"/>
      <c r="AH46" s="172"/>
    </row>
  </sheetData>
  <autoFilter ref="B12:AI46"/>
  <mergeCells count="5">
    <mergeCell ref="C46:K46"/>
    <mergeCell ref="O11:Y11"/>
    <mergeCell ref="Z11:AF11"/>
    <mergeCell ref="E7:F7"/>
    <mergeCell ref="E8:F8"/>
  </mergeCells>
  <conditionalFormatting sqref="G13:G45">
    <cfRule type="duplicateValues" dxfId="16" priority="15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H97"/>
  <sheetViews>
    <sheetView workbookViewId="0">
      <selection activeCell="C4" sqref="C4"/>
    </sheetView>
  </sheetViews>
  <sheetFormatPr defaultRowHeight="15"/>
  <cols>
    <col min="1" max="1" width="19" style="251" bestFit="1" customWidth="1"/>
    <col min="2" max="2" width="19.140625" style="251" bestFit="1" customWidth="1"/>
    <col min="3" max="3" width="21" customWidth="1"/>
    <col min="4" max="4" width="12.85546875" bestFit="1" customWidth="1"/>
  </cols>
  <sheetData>
    <row r="3" spans="1:8">
      <c r="A3" s="250" t="s">
        <v>62</v>
      </c>
      <c r="B3" s="251" t="s">
        <v>195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  <c r="H3" t="s">
        <v>199</v>
      </c>
    </row>
    <row r="4" spans="1:8">
      <c r="A4" s="251" t="s">
        <v>201</v>
      </c>
      <c r="B4" s="251">
        <v>-1180</v>
      </c>
      <c r="C4" t="e">
        <f>VLOOKUP(A4,Sales!$G$12:$V$45,1,FALSE)</f>
        <v>#N/A</v>
      </c>
    </row>
    <row r="5" spans="1:8">
      <c r="A5" s="251" t="s">
        <v>202</v>
      </c>
      <c r="B5" s="251">
        <v>-1770</v>
      </c>
      <c r="C5" t="e">
        <f>VLOOKUP(A5,Sales!$G$12:$V$45,1,FALSE)</f>
        <v>#N/A</v>
      </c>
    </row>
    <row r="6" spans="1:8">
      <c r="A6" s="251" t="s">
        <v>203</v>
      </c>
      <c r="B6" s="251">
        <v>-1770</v>
      </c>
      <c r="C6" t="e">
        <f>VLOOKUP(A6,Sales!$G$12:$V$45,1,FALSE)</f>
        <v>#N/A</v>
      </c>
    </row>
    <row r="7" spans="1:8">
      <c r="A7" s="251" t="s">
        <v>204</v>
      </c>
      <c r="B7" s="251">
        <v>-1770</v>
      </c>
      <c r="C7" t="e">
        <f>VLOOKUP(A7,Sales!$G$12:$V$45,1,FALSE)</f>
        <v>#N/A</v>
      </c>
    </row>
    <row r="8" spans="1:8">
      <c r="A8" s="251" t="s">
        <v>205</v>
      </c>
      <c r="B8" s="251">
        <v>-1770</v>
      </c>
      <c r="C8" t="e">
        <f>VLOOKUP(A8,Sales!$G$12:$V$45,1,FALSE)</f>
        <v>#N/A</v>
      </c>
    </row>
    <row r="9" spans="1:8">
      <c r="A9" s="251" t="s">
        <v>206</v>
      </c>
      <c r="B9" s="251">
        <v>-1770</v>
      </c>
      <c r="C9" t="e">
        <f>VLOOKUP(A9,Sales!$G$12:$V$45,1,FALSE)</f>
        <v>#N/A</v>
      </c>
    </row>
    <row r="10" spans="1:8">
      <c r="A10" s="251" t="s">
        <v>207</v>
      </c>
      <c r="B10" s="251">
        <v>-1770</v>
      </c>
      <c r="C10" t="e">
        <f>VLOOKUP(A10,Sales!$G$12:$V$45,1,FALSE)</f>
        <v>#N/A</v>
      </c>
    </row>
    <row r="11" spans="1:8">
      <c r="A11" s="251" t="s">
        <v>208</v>
      </c>
      <c r="B11" s="251">
        <v>-2164595</v>
      </c>
      <c r="C11" t="e">
        <f>VLOOKUP(A11,Sales!$G$12:$V$45,1,FALSE)</f>
        <v>#N/A</v>
      </c>
    </row>
    <row r="12" spans="1:8">
      <c r="A12" s="251" t="s">
        <v>209</v>
      </c>
      <c r="B12" s="251">
        <v>-3422672</v>
      </c>
      <c r="C12" t="e">
        <f>VLOOKUP(A12,Sales!$G$12:$V$45,1,FALSE)</f>
        <v>#N/A</v>
      </c>
    </row>
    <row r="13" spans="1:8">
      <c r="A13" s="251" t="s">
        <v>210</v>
      </c>
      <c r="B13" s="251">
        <v>-2409160</v>
      </c>
      <c r="C13" t="e">
        <f>VLOOKUP(A13,Sales!$G$12:$V$45,1,FALSE)</f>
        <v>#N/A</v>
      </c>
    </row>
    <row r="14" spans="1:8">
      <c r="A14" s="251" t="s">
        <v>211</v>
      </c>
      <c r="B14" s="251">
        <v>-2592392</v>
      </c>
      <c r="C14" t="e">
        <f>VLOOKUP(A14,Sales!$G$12:$V$45,1,FALSE)</f>
        <v>#N/A</v>
      </c>
    </row>
    <row r="15" spans="1:8">
      <c r="A15" s="251" t="s">
        <v>212</v>
      </c>
      <c r="B15" s="251">
        <v>-2617891</v>
      </c>
      <c r="C15" t="e">
        <f>VLOOKUP(A15,Sales!$G$12:$V$45,1,FALSE)</f>
        <v>#N/A</v>
      </c>
    </row>
    <row r="16" spans="1:8">
      <c r="A16" s="251" t="s">
        <v>213</v>
      </c>
      <c r="B16" s="251">
        <v>-14435766</v>
      </c>
      <c r="C16" t="e">
        <f>VLOOKUP(A16,Sales!$G$12:$V$45,1,FALSE)</f>
        <v>#N/A</v>
      </c>
    </row>
    <row r="17" spans="1:3">
      <c r="A17" s="251" t="s">
        <v>214</v>
      </c>
      <c r="B17" s="251">
        <v>-1996972</v>
      </c>
      <c r="C17" t="e">
        <f>VLOOKUP(A17,Sales!$G$12:$V$45,1,FALSE)</f>
        <v>#N/A</v>
      </c>
    </row>
    <row r="18" spans="1:3">
      <c r="A18" s="251" t="s">
        <v>215</v>
      </c>
      <c r="B18" s="251">
        <v>-5137822</v>
      </c>
      <c r="C18" t="e">
        <f>VLOOKUP(A18,Sales!$G$12:$V$45,1,FALSE)</f>
        <v>#N/A</v>
      </c>
    </row>
    <row r="19" spans="1:3">
      <c r="A19" s="251" t="s">
        <v>216</v>
      </c>
      <c r="B19" s="251">
        <v>-7619134</v>
      </c>
      <c r="C19" t="e">
        <f>VLOOKUP(A19,Sales!$G$12:$V$45,1,FALSE)</f>
        <v>#N/A</v>
      </c>
    </row>
    <row r="20" spans="1:3">
      <c r="A20" s="251" t="s">
        <v>217</v>
      </c>
      <c r="B20" s="251">
        <v>-1978624</v>
      </c>
      <c r="C20" t="e">
        <f>VLOOKUP(A20,Sales!$G$12:$V$45,1,FALSE)</f>
        <v>#N/A</v>
      </c>
    </row>
    <row r="21" spans="1:3">
      <c r="A21" s="251" t="s">
        <v>218</v>
      </c>
      <c r="B21" s="251">
        <v>-10202035</v>
      </c>
      <c r="C21" t="e">
        <f>VLOOKUP(A21,Sales!$G$12:$V$45,1,FALSE)</f>
        <v>#N/A</v>
      </c>
    </row>
    <row r="22" spans="1:3">
      <c r="A22" s="251" t="s">
        <v>219</v>
      </c>
      <c r="B22" s="251">
        <v>-7204547</v>
      </c>
      <c r="C22" t="e">
        <f>VLOOKUP(A22,Sales!$G$12:$V$45,1,FALSE)</f>
        <v>#N/A</v>
      </c>
    </row>
    <row r="23" spans="1:3">
      <c r="A23" s="251" t="s">
        <v>220</v>
      </c>
      <c r="B23" s="251">
        <v>-5015964</v>
      </c>
      <c r="C23" t="e">
        <f>VLOOKUP(A23,Sales!$G$12:$V$45,1,FALSE)</f>
        <v>#N/A</v>
      </c>
    </row>
    <row r="24" spans="1:3">
      <c r="A24" s="251" t="s">
        <v>221</v>
      </c>
      <c r="B24" s="251">
        <v>-5014639</v>
      </c>
      <c r="C24" t="e">
        <f>VLOOKUP(A24,Sales!$G$12:$V$45,1,FALSE)</f>
        <v>#N/A</v>
      </c>
    </row>
    <row r="25" spans="1:3">
      <c r="A25" s="251" t="s">
        <v>222</v>
      </c>
      <c r="B25" s="251">
        <v>-7344466</v>
      </c>
      <c r="C25" t="e">
        <f>VLOOKUP(A25,Sales!$G$12:$V$45,1,FALSE)</f>
        <v>#N/A</v>
      </c>
    </row>
    <row r="26" spans="1:3">
      <c r="A26" s="251" t="s">
        <v>223</v>
      </c>
      <c r="B26" s="251">
        <v>-5156929</v>
      </c>
      <c r="C26" t="e">
        <f>VLOOKUP(A26,Sales!$G$12:$V$45,1,FALSE)</f>
        <v>#N/A</v>
      </c>
    </row>
    <row r="27" spans="1:3">
      <c r="A27" s="251" t="s">
        <v>224</v>
      </c>
      <c r="B27" s="251">
        <v>-4897308</v>
      </c>
      <c r="C27" t="e">
        <f>VLOOKUP(A27,Sales!$G$12:$V$45,1,FALSE)</f>
        <v>#N/A</v>
      </c>
    </row>
    <row r="28" spans="1:3">
      <c r="A28" s="251" t="s">
        <v>225</v>
      </c>
      <c r="B28" s="251">
        <v>-2444683</v>
      </c>
      <c r="C28" t="e">
        <f>VLOOKUP(A28,Sales!$G$12:$V$45,1,FALSE)</f>
        <v>#N/A</v>
      </c>
    </row>
    <row r="29" spans="1:3">
      <c r="A29" s="251" t="s">
        <v>226</v>
      </c>
      <c r="B29" s="251">
        <v>-10336202</v>
      </c>
      <c r="C29" t="e">
        <f>VLOOKUP(A29,Sales!$G$12:$V$45,1,FALSE)</f>
        <v>#N/A</v>
      </c>
    </row>
    <row r="30" spans="1:3">
      <c r="A30" s="251" t="s">
        <v>227</v>
      </c>
      <c r="B30" s="251">
        <v>-2508904</v>
      </c>
      <c r="C30" t="e">
        <f>VLOOKUP(A30,Sales!$G$12:$V$45,1,FALSE)</f>
        <v>#N/A</v>
      </c>
    </row>
    <row r="31" spans="1:3">
      <c r="A31" s="251" t="s">
        <v>228</v>
      </c>
      <c r="B31" s="251">
        <v>-4976514</v>
      </c>
      <c r="C31" t="e">
        <f>VLOOKUP(A31,Sales!$G$12:$V$45,1,FALSE)</f>
        <v>#N/A</v>
      </c>
    </row>
    <row r="32" spans="1:3">
      <c r="A32" s="251" t="s">
        <v>229</v>
      </c>
      <c r="B32" s="251">
        <v>-7354826</v>
      </c>
      <c r="C32" t="e">
        <f>VLOOKUP(A32,Sales!$G$12:$V$45,1,FALSE)</f>
        <v>#N/A</v>
      </c>
    </row>
    <row r="33" spans="1:3">
      <c r="A33" s="251" t="s">
        <v>230</v>
      </c>
      <c r="B33" s="251">
        <v>-14344717</v>
      </c>
      <c r="C33" t="e">
        <f>VLOOKUP(A33,Sales!$G$12:$V$45,1,FALSE)</f>
        <v>#N/A</v>
      </c>
    </row>
    <row r="34" spans="1:3">
      <c r="A34" s="251" t="s">
        <v>231</v>
      </c>
      <c r="B34" s="251">
        <v>-2597043</v>
      </c>
      <c r="C34" t="e">
        <f>VLOOKUP(A34,Sales!$G$12:$V$45,1,FALSE)</f>
        <v>#N/A</v>
      </c>
    </row>
    <row r="35" spans="1:3">
      <c r="A35" s="251" t="s">
        <v>232</v>
      </c>
      <c r="B35" s="251">
        <v>-2595450</v>
      </c>
      <c r="C35" t="e">
        <f>VLOOKUP(A35,Sales!$G$12:$V$45,1,FALSE)</f>
        <v>#N/A</v>
      </c>
    </row>
    <row r="36" spans="1:3">
      <c r="A36" s="251" t="s">
        <v>233</v>
      </c>
      <c r="B36" s="251">
        <v>-2360</v>
      </c>
      <c r="C36" t="e">
        <f>VLOOKUP(A36,Sales!$G$12:$V$45,1,FALSE)</f>
        <v>#N/A</v>
      </c>
    </row>
    <row r="37" spans="1:3">
      <c r="A37" s="251" t="s">
        <v>234</v>
      </c>
      <c r="B37" s="251">
        <v>-2360</v>
      </c>
      <c r="C37" t="e">
        <f>VLOOKUP(A37,Sales!$G$12:$V$45,1,FALSE)</f>
        <v>#N/A</v>
      </c>
    </row>
    <row r="38" spans="1:3">
      <c r="A38" s="251" t="s">
        <v>235</v>
      </c>
      <c r="B38" s="251">
        <v>-2360</v>
      </c>
      <c r="C38" t="e">
        <f>VLOOKUP(A38,Sales!$G$12:$V$45,1,FALSE)</f>
        <v>#N/A</v>
      </c>
    </row>
    <row r="39" spans="1:3">
      <c r="A39" s="251" t="s">
        <v>236</v>
      </c>
      <c r="B39" s="251">
        <v>-2360</v>
      </c>
      <c r="C39" t="e">
        <f>VLOOKUP(A39,Sales!$G$12:$V$45,1,FALSE)</f>
        <v>#N/A</v>
      </c>
    </row>
    <row r="40" spans="1:3">
      <c r="A40" s="251" t="s">
        <v>237</v>
      </c>
      <c r="B40" s="251">
        <v>-2360</v>
      </c>
      <c r="C40" t="e">
        <f>VLOOKUP(A40,Sales!$G$12:$V$45,1,FALSE)</f>
        <v>#N/A</v>
      </c>
    </row>
    <row r="41" spans="1:3">
      <c r="A41" s="251" t="s">
        <v>238</v>
      </c>
      <c r="B41" s="251">
        <v>-2360</v>
      </c>
      <c r="C41" t="e">
        <f>VLOOKUP(A41,Sales!$G$12:$V$45,1,FALSE)</f>
        <v>#N/A</v>
      </c>
    </row>
    <row r="42" spans="1:3">
      <c r="A42" s="251" t="s">
        <v>239</v>
      </c>
      <c r="B42" s="251">
        <v>-13009.66</v>
      </c>
      <c r="C42" t="e">
        <f>VLOOKUP(A42,Sales!$G$12:$V$45,1,FALSE)</f>
        <v>#N/A</v>
      </c>
    </row>
    <row r="43" spans="1:3">
      <c r="A43" s="251" t="s">
        <v>240</v>
      </c>
      <c r="B43" s="251">
        <v>-13009.66</v>
      </c>
      <c r="C43" t="e">
        <f>VLOOKUP(A43,Sales!$G$12:$V$45,1,FALSE)</f>
        <v>#N/A</v>
      </c>
    </row>
    <row r="44" spans="1:3">
      <c r="A44" s="251" t="s">
        <v>241</v>
      </c>
      <c r="B44" s="251">
        <v>-13009.66</v>
      </c>
      <c r="C44" t="e">
        <f>VLOOKUP(A44,Sales!$G$12:$V$45,1,FALSE)</f>
        <v>#N/A</v>
      </c>
    </row>
    <row r="45" spans="1:3">
      <c r="A45" s="251" t="s">
        <v>242</v>
      </c>
      <c r="B45" s="251">
        <v>-13009.66</v>
      </c>
      <c r="C45" t="e">
        <f>VLOOKUP(A45,Sales!$G$12:$V$45,1,FALSE)</f>
        <v>#N/A</v>
      </c>
    </row>
    <row r="46" spans="1:3">
      <c r="A46" s="251" t="s">
        <v>243</v>
      </c>
      <c r="B46" s="251">
        <v>-13009.66</v>
      </c>
      <c r="C46" t="e">
        <f>VLOOKUP(A46,Sales!$G$12:$V$45,1,FALSE)</f>
        <v>#N/A</v>
      </c>
    </row>
    <row r="47" spans="1:3">
      <c r="A47" s="251" t="s">
        <v>244</v>
      </c>
      <c r="B47" s="251">
        <v>-15426.8</v>
      </c>
      <c r="C47" t="e">
        <f>VLOOKUP(A47,Sales!$G$12:$V$45,1,FALSE)</f>
        <v>#N/A</v>
      </c>
    </row>
    <row r="48" spans="1:3">
      <c r="A48" s="251" t="s">
        <v>245</v>
      </c>
      <c r="B48" s="251">
        <v>-10245.700000000001</v>
      </c>
      <c r="C48" t="e">
        <f>VLOOKUP(A48,Sales!$G$12:$V$45,1,FALSE)</f>
        <v>#N/A</v>
      </c>
    </row>
    <row r="49" spans="1:3">
      <c r="A49" s="251" t="s">
        <v>246</v>
      </c>
      <c r="B49" s="251">
        <v>-19473.32</v>
      </c>
      <c r="C49" t="e">
        <f>VLOOKUP(A49,Sales!$G$12:$V$45,1,FALSE)</f>
        <v>#N/A</v>
      </c>
    </row>
    <row r="50" spans="1:3">
      <c r="A50" s="251" t="s">
        <v>247</v>
      </c>
      <c r="B50" s="251">
        <v>34394.239999999998</v>
      </c>
      <c r="C50" t="e">
        <f>VLOOKUP(A50,Sales!$G$12:$V$45,1,FALSE)</f>
        <v>#N/A</v>
      </c>
    </row>
    <row r="51" spans="1:3">
      <c r="A51" s="251" t="s">
        <v>248</v>
      </c>
      <c r="B51" s="251">
        <v>-18711.45</v>
      </c>
      <c r="C51" t="e">
        <f>VLOOKUP(A51,Sales!$G$12:$V$45,1,FALSE)</f>
        <v>#N/A</v>
      </c>
    </row>
    <row r="52" spans="1:3">
      <c r="A52" s="251" t="s">
        <v>249</v>
      </c>
      <c r="B52" s="251">
        <v>-4004.55</v>
      </c>
      <c r="C52" t="e">
        <f>VLOOKUP(A52,Sales!$G$12:$V$45,1,FALSE)</f>
        <v>#N/A</v>
      </c>
    </row>
    <row r="53" spans="1:3">
      <c r="A53" s="251" t="s">
        <v>250</v>
      </c>
      <c r="B53" s="251">
        <v>-101938.07</v>
      </c>
      <c r="C53" t="e">
        <f>VLOOKUP(A53,Sales!$G$12:$V$45,1,FALSE)</f>
        <v>#N/A</v>
      </c>
    </row>
    <row r="54" spans="1:3">
      <c r="A54" s="251" t="s">
        <v>251</v>
      </c>
      <c r="B54" s="251">
        <v>-4563</v>
      </c>
      <c r="C54" t="e">
        <f>VLOOKUP(A54,Sales!$G$12:$V$45,1,FALSE)</f>
        <v>#N/A</v>
      </c>
    </row>
    <row r="55" spans="1:3">
      <c r="A55" s="251" t="s">
        <v>252</v>
      </c>
      <c r="B55" s="251">
        <v>-13009.66</v>
      </c>
      <c r="C55" t="e">
        <f>VLOOKUP(A55,Sales!$G$12:$V$45,1,FALSE)</f>
        <v>#N/A</v>
      </c>
    </row>
    <row r="56" spans="1:3">
      <c r="A56" s="251" t="s">
        <v>253</v>
      </c>
      <c r="B56" s="251">
        <v>-6309.5</v>
      </c>
      <c r="C56" t="e">
        <f>VLOOKUP(A56,Sales!$G$12:$V$45,1,FALSE)</f>
        <v>#N/A</v>
      </c>
    </row>
    <row r="57" spans="1:3">
      <c r="A57" s="251" t="s">
        <v>254</v>
      </c>
      <c r="B57" s="251">
        <v>-5701.5</v>
      </c>
      <c r="C57" t="e">
        <f>VLOOKUP(A57,Sales!$G$12:$V$45,1,FALSE)</f>
        <v>#N/A</v>
      </c>
    </row>
    <row r="58" spans="1:3">
      <c r="A58" s="251" t="s">
        <v>255</v>
      </c>
      <c r="B58" s="251">
        <v>-5701.5</v>
      </c>
      <c r="C58" t="e">
        <f>VLOOKUP(A58,Sales!$G$12:$V$45,1,FALSE)</f>
        <v>#N/A</v>
      </c>
    </row>
    <row r="59" spans="1:3">
      <c r="A59" s="251" t="s">
        <v>256</v>
      </c>
      <c r="B59" s="251">
        <v>-25542.799999999999</v>
      </c>
      <c r="C59" t="e">
        <f>VLOOKUP(A59,Sales!$G$12:$V$45,1,FALSE)</f>
        <v>#N/A</v>
      </c>
    </row>
    <row r="60" spans="1:3">
      <c r="A60" s="251" t="s">
        <v>257</v>
      </c>
      <c r="B60" s="251">
        <v>-11278</v>
      </c>
      <c r="C60" t="e">
        <f>VLOOKUP(A60,Sales!$G$12:$V$45,1,FALSE)</f>
        <v>#N/A</v>
      </c>
    </row>
    <row r="61" spans="1:3">
      <c r="A61" s="251" t="s">
        <v>258</v>
      </c>
      <c r="B61" s="251">
        <v>12141.61</v>
      </c>
      <c r="C61" t="e">
        <f>VLOOKUP(A61,Sales!$G$12:$V$45,1,FALSE)</f>
        <v>#N/A</v>
      </c>
    </row>
    <row r="62" spans="1:3">
      <c r="A62" s="251" t="s">
        <v>259</v>
      </c>
      <c r="B62" s="251">
        <v>-48494.36</v>
      </c>
      <c r="C62" t="e">
        <f>VLOOKUP(A62,Sales!$G$12:$V$45,1,FALSE)</f>
        <v>#N/A</v>
      </c>
    </row>
    <row r="63" spans="1:3">
      <c r="A63" s="251" t="s">
        <v>260</v>
      </c>
      <c r="B63" s="251">
        <v>-5723</v>
      </c>
      <c r="C63" t="e">
        <f>VLOOKUP(A63,Sales!$G$12:$V$45,1,FALSE)</f>
        <v>#N/A</v>
      </c>
    </row>
    <row r="64" spans="1:3">
      <c r="A64" s="251" t="s">
        <v>261</v>
      </c>
      <c r="B64" s="251">
        <v>-25094.93</v>
      </c>
      <c r="C64" t="e">
        <f>VLOOKUP(A64,Sales!$G$12:$V$45,1,FALSE)</f>
        <v>#N/A</v>
      </c>
    </row>
    <row r="65" spans="1:3">
      <c r="A65" s="251" t="s">
        <v>93</v>
      </c>
      <c r="B65" s="251">
        <v>29114794.34</v>
      </c>
      <c r="C65" t="str">
        <f>VLOOKUP(A65,Sales!$G$12:$V$45,1,FALSE)</f>
        <v>469BC89260860007</v>
      </c>
    </row>
    <row r="66" spans="1:3">
      <c r="A66" s="251" t="s">
        <v>99</v>
      </c>
      <c r="B66" s="251">
        <v>16469529.76</v>
      </c>
      <c r="C66" t="str">
        <f>VLOOKUP(A66,Sales!$G$12:$V$45,1,FALSE)</f>
        <v>469BC89260890006</v>
      </c>
    </row>
    <row r="67" spans="1:3">
      <c r="A67" s="251" t="s">
        <v>104</v>
      </c>
      <c r="B67" s="251">
        <v>2256869.4299999997</v>
      </c>
      <c r="C67" t="str">
        <f>VLOOKUP(A67,Sales!$G$12:$V$45,1,FALSE)</f>
        <v>469BC89261030001</v>
      </c>
    </row>
    <row r="68" spans="1:3">
      <c r="A68" s="251" t="s">
        <v>107</v>
      </c>
      <c r="B68" s="251">
        <v>2106681.6300000004</v>
      </c>
      <c r="C68" t="str">
        <f>VLOOKUP(A68,Sales!$G$12:$V$45,1,FALSE)</f>
        <v>469BC89261030003</v>
      </c>
    </row>
    <row r="69" spans="1:3">
      <c r="A69" s="251" t="s">
        <v>115</v>
      </c>
      <c r="B69" s="251">
        <v>12276600.49</v>
      </c>
      <c r="C69" t="str">
        <f>VLOOKUP(A69,Sales!$G$12:$V$45,1,FALSE)</f>
        <v>469BC89261030007</v>
      </c>
    </row>
    <row r="70" spans="1:3">
      <c r="A70" s="251" t="s">
        <v>118</v>
      </c>
      <c r="B70" s="251">
        <v>9036080.1799999997</v>
      </c>
      <c r="C70" t="str">
        <f>VLOOKUP(A70,Sales!$G$12:$V$45,1,FALSE)</f>
        <v>469BC89261030010</v>
      </c>
    </row>
    <row r="71" spans="1:3">
      <c r="A71" s="251" t="s">
        <v>112</v>
      </c>
      <c r="B71" s="251">
        <v>24545240.170000002</v>
      </c>
      <c r="C71" t="str">
        <f>VLOOKUP(A71,Sales!$G$12:$V$45,1,FALSE)</f>
        <v>469BC89261030011</v>
      </c>
    </row>
    <row r="72" spans="1:3">
      <c r="A72" s="251" t="s">
        <v>122</v>
      </c>
      <c r="B72" s="251">
        <v>23153011.010000002</v>
      </c>
      <c r="C72" t="str">
        <f>VLOOKUP(A72,Sales!$G$12:$V$45,1,FALSE)</f>
        <v>469BC89261060001</v>
      </c>
    </row>
    <row r="73" spans="1:3">
      <c r="A73" s="251" t="s">
        <v>126</v>
      </c>
      <c r="B73" s="251">
        <v>8549056.8699999992</v>
      </c>
      <c r="C73" t="str">
        <f>VLOOKUP(A73,Sales!$G$12:$V$45,1,FALSE)</f>
        <v>469BC89261060002</v>
      </c>
    </row>
    <row r="74" spans="1:3">
      <c r="A74" s="251" t="s">
        <v>130</v>
      </c>
      <c r="B74" s="251">
        <v>44447469.950000003</v>
      </c>
      <c r="C74" t="str">
        <f>VLOOKUP(A74,Sales!$G$12:$V$45,1,FALSE)</f>
        <v>469BC89261060003</v>
      </c>
    </row>
    <row r="75" spans="1:3">
      <c r="A75" s="251" t="s">
        <v>185</v>
      </c>
      <c r="B75" s="251">
        <v>13413135.59</v>
      </c>
      <c r="C75" t="str">
        <f>VLOOKUP(A75,Sales!$G$12:$V$45,1,FALSE)</f>
        <v>469BC89261070001</v>
      </c>
    </row>
    <row r="76" spans="1:3">
      <c r="A76" s="251" t="s">
        <v>186</v>
      </c>
      <c r="B76" s="251">
        <v>4769795.49</v>
      </c>
      <c r="C76" t="str">
        <f>VLOOKUP(A76,Sales!$G$12:$V$45,1,FALSE)</f>
        <v>469BC89261070002</v>
      </c>
    </row>
    <row r="77" spans="1:3">
      <c r="A77" s="251" t="s">
        <v>143</v>
      </c>
      <c r="B77" s="251">
        <v>-5310</v>
      </c>
      <c r="C77" t="str">
        <f>VLOOKUP(A77,Sales!$G$12:$V$45,1,FALSE)</f>
        <v>469BC89261100002</v>
      </c>
    </row>
    <row r="78" spans="1:3">
      <c r="A78" s="251" t="s">
        <v>187</v>
      </c>
      <c r="B78" s="251">
        <v>-5310</v>
      </c>
      <c r="C78" t="str">
        <f>VLOOKUP(A78,Sales!$G$12:$V$45,1,FALSE)</f>
        <v>469BC89261100003</v>
      </c>
    </row>
    <row r="79" spans="1:3">
      <c r="A79" s="251" t="s">
        <v>141</v>
      </c>
      <c r="B79" s="251">
        <v>-5310</v>
      </c>
      <c r="C79" t="str">
        <f>VLOOKUP(A79,Sales!$G$12:$V$45,1,FALSE)</f>
        <v>469BC89261100004</v>
      </c>
    </row>
    <row r="80" spans="1:3">
      <c r="A80" s="251" t="s">
        <v>138</v>
      </c>
      <c r="B80" s="251">
        <v>-5310</v>
      </c>
      <c r="C80" t="str">
        <f>VLOOKUP(A80,Sales!$G$12:$V$45,1,FALSE)</f>
        <v>469BC89261100005</v>
      </c>
    </row>
    <row r="81" spans="1:3">
      <c r="A81" s="251" t="s">
        <v>188</v>
      </c>
      <c r="B81" s="251">
        <v>-5310</v>
      </c>
      <c r="C81" t="str">
        <f>VLOOKUP(A81,Sales!$G$12:$V$45,1,FALSE)</f>
        <v>469BC89261100006</v>
      </c>
    </row>
    <row r="82" spans="1:3">
      <c r="A82" s="251" t="s">
        <v>134</v>
      </c>
      <c r="B82" s="251">
        <v>-5310</v>
      </c>
      <c r="C82" t="str">
        <f>VLOOKUP(A82,Sales!$G$12:$V$45,1,FALSE)</f>
        <v>469BC89261100007</v>
      </c>
    </row>
    <row r="83" spans="1:3">
      <c r="A83" s="251" t="s">
        <v>146</v>
      </c>
      <c r="B83" s="251">
        <v>-5310</v>
      </c>
      <c r="C83" t="str">
        <f>VLOOKUP(A83,Sales!$G$12:$V$45,1,FALSE)</f>
        <v>469BC89261110006</v>
      </c>
    </row>
    <row r="84" spans="1:3">
      <c r="A84" s="251" t="s">
        <v>148</v>
      </c>
      <c r="B84" s="251">
        <v>-5310</v>
      </c>
      <c r="C84" t="str">
        <f>VLOOKUP(A84,Sales!$G$12:$V$45,1,FALSE)</f>
        <v>469BC89261110008</v>
      </c>
    </row>
    <row r="85" spans="1:3">
      <c r="A85" s="251" t="s">
        <v>152</v>
      </c>
      <c r="B85" s="251">
        <v>-5310</v>
      </c>
      <c r="C85" t="str">
        <f>VLOOKUP(A85,Sales!$G$12:$V$45,1,FALSE)</f>
        <v>469BC89261110009</v>
      </c>
    </row>
    <row r="86" spans="1:3">
      <c r="A86" s="251" t="s">
        <v>156</v>
      </c>
      <c r="B86" s="251">
        <v>8537646.5399999991</v>
      </c>
      <c r="C86" t="str">
        <f>VLOOKUP(A86,Sales!$G$12:$V$45,1,FALSE)</f>
        <v>469BC89261130001</v>
      </c>
    </row>
    <row r="87" spans="1:3">
      <c r="A87" s="251" t="s">
        <v>160</v>
      </c>
      <c r="B87" s="251">
        <v>21792176.02</v>
      </c>
      <c r="C87" t="str">
        <f>VLOOKUP(A87,Sales!$G$12:$V$45,1,FALSE)</f>
        <v>469BC89261130003</v>
      </c>
    </row>
    <row r="88" spans="1:3">
      <c r="A88" s="251" t="s">
        <v>164</v>
      </c>
      <c r="B88" s="251">
        <v>13114220.23</v>
      </c>
      <c r="C88" t="str">
        <f>VLOOKUP(A88,Sales!$G$12:$V$45,1,FALSE)</f>
        <v>469BC89261140003</v>
      </c>
    </row>
    <row r="89" spans="1:3">
      <c r="A89" s="251" t="s">
        <v>167</v>
      </c>
      <c r="B89" s="251">
        <v>64884662.920000002</v>
      </c>
      <c r="C89" t="str">
        <f>VLOOKUP(A89,Sales!$G$12:$V$45,1,FALSE)</f>
        <v>469BC89261140007</v>
      </c>
    </row>
    <row r="90" spans="1:3">
      <c r="A90" s="251" t="s">
        <v>170</v>
      </c>
      <c r="B90" s="251">
        <v>13209812.890000001</v>
      </c>
      <c r="C90" t="str">
        <f>VLOOKUP(A90,Sales!$G$12:$V$45,1,FALSE)</f>
        <v>469BC89261140008</v>
      </c>
    </row>
    <row r="91" spans="1:3">
      <c r="A91" s="251" t="s">
        <v>172</v>
      </c>
      <c r="B91" s="251">
        <v>15735824.789999999</v>
      </c>
      <c r="C91" t="str">
        <f>VLOOKUP(A91,Sales!$G$12:$V$45,1,FALSE)</f>
        <v>469BC89261140009</v>
      </c>
    </row>
    <row r="92" spans="1:3">
      <c r="A92" s="251" t="s">
        <v>178</v>
      </c>
      <c r="B92" s="251">
        <v>7388509.3600000003</v>
      </c>
      <c r="C92" t="str">
        <f>VLOOKUP(A92,Sales!$G$12:$V$45,1,FALSE)</f>
        <v>469BC89261140010</v>
      </c>
    </row>
    <row r="93" spans="1:3">
      <c r="A93" s="251" t="s">
        <v>176</v>
      </c>
      <c r="B93" s="251">
        <v>16746189.890000001</v>
      </c>
      <c r="C93" t="str">
        <f>VLOOKUP(A93,Sales!$G$12:$V$45,1,FALSE)</f>
        <v>469BC89261170007</v>
      </c>
    </row>
    <row r="94" spans="1:3">
      <c r="A94" s="251" t="s">
        <v>180</v>
      </c>
      <c r="B94" s="251">
        <v>45029724.420000002</v>
      </c>
      <c r="C94" t="str">
        <f>VLOOKUP(A94,Sales!$G$12:$V$45,1,FALSE)</f>
        <v>469BC89261180001</v>
      </c>
    </row>
    <row r="95" spans="1:3">
      <c r="A95" s="251" t="s">
        <v>183</v>
      </c>
      <c r="B95" s="251">
        <v>43852439.25</v>
      </c>
      <c r="C95" t="str">
        <f>VLOOKUP(A95,Sales!$G$12:$V$45,1,FALSE)</f>
        <v>469BC89261200004</v>
      </c>
    </row>
    <row r="96" spans="1:3">
      <c r="A96" s="251" t="s">
        <v>262</v>
      </c>
      <c r="B96" s="251">
        <v>-13264.38</v>
      </c>
      <c r="C96" t="e">
        <f>VLOOKUP(A96,Sales!$G$12:$V$45,1,FALSE)</f>
        <v>#N/A</v>
      </c>
    </row>
    <row r="97" spans="1:2">
      <c r="A97" s="251" t="s">
        <v>263</v>
      </c>
      <c r="B97" s="251">
        <v>303633471.25000006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46"/>
  <sheetViews>
    <sheetView workbookViewId="0">
      <selection activeCell="D2" sqref="D2"/>
    </sheetView>
  </sheetViews>
  <sheetFormatPr defaultRowHeight="15"/>
  <cols>
    <col min="1" max="1" width="41.140625" bestFit="1" customWidth="1"/>
    <col min="2" max="2" width="12.5703125" bestFit="1" customWidth="1"/>
    <col min="3" max="3" width="8.7109375" bestFit="1" customWidth="1"/>
    <col min="4" max="4" width="19.140625" bestFit="1" customWidth="1"/>
    <col min="5" max="5" width="11.140625" bestFit="1" customWidth="1"/>
    <col min="6" max="6" width="23.5703125" bestFit="1" customWidth="1"/>
    <col min="7" max="7" width="12.5703125" bestFit="1" customWidth="1"/>
    <col min="8" max="8" width="41.140625" bestFit="1" customWidth="1"/>
    <col min="9" max="9" width="11.5703125" bestFit="1" customWidth="1"/>
    <col min="10" max="10" width="6.85546875" bestFit="1" customWidth="1"/>
    <col min="11" max="11" width="19" bestFit="1" customWidth="1"/>
    <col min="12" max="12" width="14.42578125" customWidth="1"/>
    <col min="15" max="15" width="19" bestFit="1" customWidth="1"/>
    <col min="16" max="16" width="19" customWidth="1"/>
  </cols>
  <sheetData>
    <row r="1" spans="1:17">
      <c r="A1" s="239" t="s">
        <v>264</v>
      </c>
      <c r="B1" s="240" t="s">
        <v>199</v>
      </c>
      <c r="C1" s="240" t="s">
        <v>265</v>
      </c>
      <c r="D1" s="240" t="s">
        <v>62</v>
      </c>
      <c r="E1" s="240" t="s">
        <v>266</v>
      </c>
      <c r="F1" s="240" t="s">
        <v>267</v>
      </c>
      <c r="G1" s="240" t="s">
        <v>268</v>
      </c>
      <c r="H1" s="240" t="s">
        <v>269</v>
      </c>
      <c r="I1" s="240" t="s">
        <v>270</v>
      </c>
      <c r="J1" s="241" t="s">
        <v>271</v>
      </c>
    </row>
    <row r="2" spans="1:17">
      <c r="A2" s="242" t="s">
        <v>272</v>
      </c>
      <c r="B2" s="243">
        <v>12964.66</v>
      </c>
      <c r="C2" s="243" t="s">
        <v>273</v>
      </c>
      <c r="D2" s="243" t="s">
        <v>243</v>
      </c>
      <c r="E2" s="244">
        <v>46026</v>
      </c>
      <c r="F2" s="243" t="s">
        <v>274</v>
      </c>
      <c r="G2" s="243">
        <v>-12964.66</v>
      </c>
      <c r="H2" s="243" t="s">
        <v>272</v>
      </c>
      <c r="I2" s="243" t="s">
        <v>196</v>
      </c>
      <c r="J2" s="245">
        <v>46138</v>
      </c>
      <c r="K2" t="e">
        <f>VLOOKUP(D2,Sales!$G$3:$G$45,1,FALSE)</f>
        <v>#N/A</v>
      </c>
      <c r="M2" t="e">
        <f>VLOOKUP(D2,Charges!$D$8:$D$25,1,FALSE)</f>
        <v>#N/A</v>
      </c>
      <c r="O2" t="str">
        <f>VLOOKUP(D2,Retirement!$F$12:$F$79,1,FALSE)</f>
        <v>469BC89253450002</v>
      </c>
      <c r="Q2" t="s">
        <v>243</v>
      </c>
    </row>
    <row r="3" spans="1:17">
      <c r="A3" s="246" t="s">
        <v>272</v>
      </c>
      <c r="B3" s="247">
        <v>12964.66</v>
      </c>
      <c r="C3" s="247" t="s">
        <v>273</v>
      </c>
      <c r="D3" s="247" t="s">
        <v>241</v>
      </c>
      <c r="E3" s="248">
        <v>46026</v>
      </c>
      <c r="F3" s="247" t="s">
        <v>274</v>
      </c>
      <c r="G3" s="247">
        <v>-12964.66</v>
      </c>
      <c r="H3" s="247" t="s">
        <v>272</v>
      </c>
      <c r="I3" s="247" t="s">
        <v>196</v>
      </c>
      <c r="J3" s="249">
        <v>46138</v>
      </c>
      <c r="K3" t="e">
        <f>VLOOKUP(D3,Sales!$G$3:$G$45,1,FALSE)</f>
        <v>#N/A</v>
      </c>
      <c r="M3" t="e">
        <f>VLOOKUP(D3,Charges!$D$8:$D$25,1,FALSE)</f>
        <v>#N/A</v>
      </c>
      <c r="O3" t="str">
        <f>VLOOKUP(D3,Retirement!$F$12:$F$79,1,FALSE)</f>
        <v>469BC89253430003</v>
      </c>
      <c r="Q3" t="s">
        <v>241</v>
      </c>
    </row>
    <row r="4" spans="1:17">
      <c r="A4" s="242" t="s">
        <v>272</v>
      </c>
      <c r="B4" s="243">
        <v>12964.66</v>
      </c>
      <c r="C4" s="243" t="s">
        <v>273</v>
      </c>
      <c r="D4" s="243" t="s">
        <v>240</v>
      </c>
      <c r="E4" s="244">
        <v>46026</v>
      </c>
      <c r="F4" s="243" t="s">
        <v>274</v>
      </c>
      <c r="G4" s="243">
        <v>-12964.66</v>
      </c>
      <c r="H4" s="243" t="s">
        <v>272</v>
      </c>
      <c r="I4" s="243" t="s">
        <v>196</v>
      </c>
      <c r="J4" s="245">
        <v>46138</v>
      </c>
      <c r="K4" t="e">
        <f>VLOOKUP(D4,Sales!$G$3:$G$45,1,FALSE)</f>
        <v>#N/A</v>
      </c>
      <c r="M4" t="e">
        <f>VLOOKUP(D4,Charges!$D$8:$D$25,1,FALSE)</f>
        <v>#N/A</v>
      </c>
      <c r="O4" t="str">
        <f>VLOOKUP(D4,Retirement!$F$12:$F$79,1,FALSE)</f>
        <v>469BC89253390002</v>
      </c>
      <c r="Q4" t="s">
        <v>240</v>
      </c>
    </row>
    <row r="5" spans="1:17">
      <c r="A5" s="246" t="s">
        <v>272</v>
      </c>
      <c r="B5" s="247">
        <v>12964.66</v>
      </c>
      <c r="C5" s="247" t="s">
        <v>273</v>
      </c>
      <c r="D5" s="247" t="s">
        <v>239</v>
      </c>
      <c r="E5" s="248">
        <v>46026</v>
      </c>
      <c r="F5" s="247" t="s">
        <v>274</v>
      </c>
      <c r="G5" s="247">
        <v>-12964.66</v>
      </c>
      <c r="H5" s="247" t="s">
        <v>272</v>
      </c>
      <c r="I5" s="247" t="s">
        <v>196</v>
      </c>
      <c r="J5" s="249">
        <v>46138</v>
      </c>
      <c r="K5" t="e">
        <f>VLOOKUP(D5,Sales!$G$3:$G$45,1,FALSE)</f>
        <v>#N/A</v>
      </c>
      <c r="M5" t="e">
        <f>VLOOKUP(D5,Charges!$D$8:$D$25,1,FALSE)</f>
        <v>#N/A</v>
      </c>
      <c r="O5" t="str">
        <f>VLOOKUP(D5,Retirement!$F$12:$F$79,1,FALSE)</f>
        <v>469BC89253390001</v>
      </c>
      <c r="Q5" t="s">
        <v>239</v>
      </c>
    </row>
    <row r="6" spans="1:17">
      <c r="A6" s="242" t="s">
        <v>272</v>
      </c>
      <c r="B6" s="243">
        <v>12964.66</v>
      </c>
      <c r="C6" s="243" t="s">
        <v>273</v>
      </c>
      <c r="D6" s="243" t="s">
        <v>242</v>
      </c>
      <c r="E6" s="244">
        <v>46026</v>
      </c>
      <c r="F6" s="243" t="s">
        <v>274</v>
      </c>
      <c r="G6" s="243">
        <v>-12964.66</v>
      </c>
      <c r="H6" s="243" t="s">
        <v>272</v>
      </c>
      <c r="I6" s="243" t="s">
        <v>196</v>
      </c>
      <c r="J6" s="245">
        <v>46138</v>
      </c>
      <c r="K6" t="e">
        <f>VLOOKUP(D6,Sales!$G$3:$G$45,1,FALSE)</f>
        <v>#N/A</v>
      </c>
      <c r="M6" t="e">
        <f>VLOOKUP(D6,Charges!$D$8:$D$25,1,FALSE)</f>
        <v>#N/A</v>
      </c>
      <c r="O6" t="str">
        <f>VLOOKUP(D6,Retirement!$F$12:$F$79,1,FALSE)</f>
        <v>469BC89253430007</v>
      </c>
      <c r="Q6" t="s">
        <v>242</v>
      </c>
    </row>
    <row r="7" spans="1:17">
      <c r="A7" s="246" t="s">
        <v>272</v>
      </c>
      <c r="B7" s="247">
        <v>12964.66</v>
      </c>
      <c r="C7" s="247" t="s">
        <v>273</v>
      </c>
      <c r="D7" s="247" t="s">
        <v>252</v>
      </c>
      <c r="E7" s="248">
        <v>46026</v>
      </c>
      <c r="F7" s="247" t="s">
        <v>274</v>
      </c>
      <c r="G7" s="247">
        <v>-12964.66</v>
      </c>
      <c r="H7" s="247" t="s">
        <v>272</v>
      </c>
      <c r="I7" s="247" t="s">
        <v>196</v>
      </c>
      <c r="J7" s="249">
        <v>46138</v>
      </c>
      <c r="K7" t="e">
        <f>VLOOKUP(D7,Sales!$G$3:$G$45,1,FALSE)</f>
        <v>#N/A</v>
      </c>
      <c r="M7" t="e">
        <f>VLOOKUP(D7,Charges!$D$8:$D$25,1,FALSE)</f>
        <v>#N/A</v>
      </c>
      <c r="O7" t="str">
        <f>VLOOKUP(D7,Retirement!$F$12:$F$79,1,FALSE)</f>
        <v>469BC89260350001</v>
      </c>
      <c r="Q7" t="s">
        <v>252</v>
      </c>
    </row>
    <row r="8" spans="1:17">
      <c r="A8" s="242" t="s">
        <v>272</v>
      </c>
      <c r="B8" s="243">
        <v>15381.8</v>
      </c>
      <c r="C8" s="243" t="s">
        <v>273</v>
      </c>
      <c r="D8" s="243" t="s">
        <v>244</v>
      </c>
      <c r="E8" s="244">
        <v>46026</v>
      </c>
      <c r="F8" s="243" t="s">
        <v>274</v>
      </c>
      <c r="G8" s="243">
        <v>-15381.8</v>
      </c>
      <c r="H8" s="243" t="s">
        <v>272</v>
      </c>
      <c r="I8" s="243" t="s">
        <v>196</v>
      </c>
      <c r="J8" s="245">
        <v>46138</v>
      </c>
      <c r="K8" t="e">
        <f>VLOOKUP(D8,Sales!$G$3:$G$45,1,FALSE)</f>
        <v>#N/A</v>
      </c>
      <c r="M8" t="e">
        <f>VLOOKUP(D8,Charges!$D$8:$D$25,1,FALSE)</f>
        <v>#N/A</v>
      </c>
      <c r="O8" t="str">
        <f>VLOOKUP(D8,Retirement!$F$12:$F$79,1,FALSE)</f>
        <v>469BC89253460001</v>
      </c>
      <c r="Q8" t="s">
        <v>244</v>
      </c>
    </row>
    <row r="9" spans="1:17">
      <c r="A9" s="246" t="s">
        <v>275</v>
      </c>
      <c r="B9" s="247">
        <v>45</v>
      </c>
      <c r="C9" s="247" t="s">
        <v>273</v>
      </c>
      <c r="D9" s="247" t="s">
        <v>243</v>
      </c>
      <c r="E9" s="248">
        <v>46057</v>
      </c>
      <c r="F9" s="247" t="s">
        <v>274</v>
      </c>
      <c r="G9" s="247">
        <v>-45</v>
      </c>
      <c r="H9" s="247" t="s">
        <v>275</v>
      </c>
      <c r="I9" s="247" t="s">
        <v>76</v>
      </c>
      <c r="J9" s="249">
        <v>46138</v>
      </c>
      <c r="K9" t="e">
        <f>VLOOKUP(D9,Sales!$G$3:$G$45,1,FALSE)</f>
        <v>#N/A</v>
      </c>
      <c r="M9" t="e">
        <f>VLOOKUP(D9,Charges!$D$8:$D$25,1,FALSE)</f>
        <v>#N/A</v>
      </c>
      <c r="O9" t="str">
        <f>VLOOKUP(D9,Retirement!$F$12:$F$79,1,FALSE)</f>
        <v>469BC89253450002</v>
      </c>
      <c r="Q9" t="s">
        <v>243</v>
      </c>
    </row>
    <row r="10" spans="1:17">
      <c r="A10" s="242" t="s">
        <v>275</v>
      </c>
      <c r="B10" s="243">
        <v>45</v>
      </c>
      <c r="C10" s="243" t="s">
        <v>273</v>
      </c>
      <c r="D10" s="243" t="s">
        <v>240</v>
      </c>
      <c r="E10" s="244">
        <v>46057</v>
      </c>
      <c r="F10" s="243" t="s">
        <v>274</v>
      </c>
      <c r="G10" s="243">
        <v>-45</v>
      </c>
      <c r="H10" s="243" t="s">
        <v>275</v>
      </c>
      <c r="I10" s="243" t="s">
        <v>76</v>
      </c>
      <c r="J10" s="245">
        <v>46138</v>
      </c>
      <c r="K10" t="e">
        <f>VLOOKUP(D10,Sales!$G$3:$G$45,1,FALSE)</f>
        <v>#N/A</v>
      </c>
      <c r="M10" t="e">
        <f>VLOOKUP(D10,Charges!$D$8:$D$25,1,FALSE)</f>
        <v>#N/A</v>
      </c>
      <c r="O10" t="str">
        <f>VLOOKUP(D10,Retirement!$F$12:$F$79,1,FALSE)</f>
        <v>469BC89253390002</v>
      </c>
      <c r="Q10" t="s">
        <v>240</v>
      </c>
    </row>
    <row r="11" spans="1:17">
      <c r="A11" s="246" t="s">
        <v>275</v>
      </c>
      <c r="B11" s="247">
        <v>45</v>
      </c>
      <c r="C11" s="247" t="s">
        <v>273</v>
      </c>
      <c r="D11" s="247" t="s">
        <v>239</v>
      </c>
      <c r="E11" s="248">
        <v>46057</v>
      </c>
      <c r="F11" s="247" t="s">
        <v>274</v>
      </c>
      <c r="G11" s="247">
        <v>-45</v>
      </c>
      <c r="H11" s="247" t="s">
        <v>275</v>
      </c>
      <c r="I11" s="247" t="s">
        <v>76</v>
      </c>
      <c r="J11" s="249">
        <v>46138</v>
      </c>
      <c r="K11" t="e">
        <f>VLOOKUP(D11,Sales!$G$3:$G$45,1,FALSE)</f>
        <v>#N/A</v>
      </c>
      <c r="M11" t="e">
        <f>VLOOKUP(D11,Charges!$D$8:$D$25,1,FALSE)</f>
        <v>#N/A</v>
      </c>
      <c r="O11" t="str">
        <f>VLOOKUP(D11,Retirement!$F$12:$F$79,1,FALSE)</f>
        <v>469BC89253390001</v>
      </c>
      <c r="Q11" t="s">
        <v>239</v>
      </c>
    </row>
    <row r="12" spans="1:17">
      <c r="A12" s="242" t="s">
        <v>276</v>
      </c>
      <c r="B12" s="243">
        <v>1770</v>
      </c>
      <c r="C12" s="243" t="s">
        <v>273</v>
      </c>
      <c r="D12" s="243" t="s">
        <v>202</v>
      </c>
      <c r="E12" s="244">
        <v>46057</v>
      </c>
      <c r="F12" s="243" t="s">
        <v>277</v>
      </c>
      <c r="G12" s="243">
        <v>-1770</v>
      </c>
      <c r="H12" s="243" t="s">
        <v>276</v>
      </c>
      <c r="I12" s="243" t="s">
        <v>278</v>
      </c>
      <c r="J12" s="245">
        <v>46138</v>
      </c>
      <c r="K12" t="e">
        <f>VLOOKUP(D12,Sales!$G$3:$G$45,1,FALSE)</f>
        <v>#N/A</v>
      </c>
      <c r="M12" t="str">
        <f>VLOOKUP(D12,Charges!$D$8:$D$25,1,FALSE)</f>
        <v>014LCEX260910002</v>
      </c>
      <c r="O12" t="e">
        <f>VLOOKUP(D12,Retirement!$F$12:$F$79,1,FALSE)</f>
        <v>#N/A</v>
      </c>
      <c r="Q12" t="s">
        <v>202</v>
      </c>
    </row>
    <row r="13" spans="1:17">
      <c r="A13" s="246" t="s">
        <v>276</v>
      </c>
      <c r="B13" s="247">
        <v>1770</v>
      </c>
      <c r="C13" s="247" t="s">
        <v>273</v>
      </c>
      <c r="D13" s="247" t="s">
        <v>203</v>
      </c>
      <c r="E13" s="248">
        <v>46057</v>
      </c>
      <c r="F13" s="247" t="s">
        <v>277</v>
      </c>
      <c r="G13" s="247">
        <v>-1770</v>
      </c>
      <c r="H13" s="247" t="s">
        <v>276</v>
      </c>
      <c r="I13" s="247" t="s">
        <v>278</v>
      </c>
      <c r="J13" s="249">
        <v>46138</v>
      </c>
      <c r="K13" t="e">
        <f>VLOOKUP(D13,Sales!$G$3:$G$45,1,FALSE)</f>
        <v>#N/A</v>
      </c>
      <c r="M13" t="str">
        <f>VLOOKUP(D13,Charges!$D$8:$D$25,1,FALSE)</f>
        <v>014LCEX260920001</v>
      </c>
      <c r="O13" t="e">
        <f>VLOOKUP(D13,Retirement!$F$12:$F$79,1,FALSE)</f>
        <v>#N/A</v>
      </c>
      <c r="Q13" t="s">
        <v>203</v>
      </c>
    </row>
    <row r="14" spans="1:17">
      <c r="A14" s="242" t="s">
        <v>275</v>
      </c>
      <c r="B14" s="243">
        <v>45</v>
      </c>
      <c r="C14" s="243" t="s">
        <v>273</v>
      </c>
      <c r="D14" s="243" t="s">
        <v>241</v>
      </c>
      <c r="E14" s="244">
        <v>46057</v>
      </c>
      <c r="F14" s="243" t="s">
        <v>274</v>
      </c>
      <c r="G14" s="243">
        <v>-45</v>
      </c>
      <c r="H14" s="243" t="s">
        <v>275</v>
      </c>
      <c r="I14" s="243" t="s">
        <v>76</v>
      </c>
      <c r="J14" s="245">
        <v>46138</v>
      </c>
      <c r="K14" t="e">
        <f>VLOOKUP(D14,Sales!$G$3:$G$45,1,FALSE)</f>
        <v>#N/A</v>
      </c>
      <c r="M14" t="e">
        <f>VLOOKUP(D14,Charges!$D$8:$D$25,1,FALSE)</f>
        <v>#N/A</v>
      </c>
      <c r="O14" t="str">
        <f>VLOOKUP(D14,Retirement!$F$12:$F$79,1,FALSE)</f>
        <v>469BC89253430003</v>
      </c>
      <c r="Q14" t="s">
        <v>241</v>
      </c>
    </row>
    <row r="15" spans="1:17">
      <c r="A15" s="246" t="s">
        <v>279</v>
      </c>
      <c r="B15" s="247">
        <v>2360</v>
      </c>
      <c r="C15" s="247" t="s">
        <v>273</v>
      </c>
      <c r="D15" s="247" t="s">
        <v>235</v>
      </c>
      <c r="E15" s="248">
        <v>46057</v>
      </c>
      <c r="F15" s="247" t="s">
        <v>274</v>
      </c>
      <c r="G15" s="247">
        <v>-2360</v>
      </c>
      <c r="H15" s="247" t="s">
        <v>279</v>
      </c>
      <c r="I15" s="247" t="s">
        <v>196</v>
      </c>
      <c r="J15" s="249">
        <v>46138</v>
      </c>
      <c r="K15" t="e">
        <f>VLOOKUP(D15,Sales!$G$3:$G$45,1,FALSE)</f>
        <v>#N/A</v>
      </c>
      <c r="M15" t="e">
        <f>VLOOKUP(D15,Charges!$D$8:$D$25,1,FALSE)</f>
        <v>#N/A</v>
      </c>
      <c r="O15" t="str">
        <f>VLOOKUP(D15,Retirement!$F$12:$F$79,1,FALSE)</f>
        <v>469BC73260920020</v>
      </c>
      <c r="Q15" t="s">
        <v>235</v>
      </c>
    </row>
    <row r="16" spans="1:17">
      <c r="A16" s="242" t="s">
        <v>280</v>
      </c>
      <c r="B16" s="243">
        <v>3422672</v>
      </c>
      <c r="C16" s="243" t="s">
        <v>273</v>
      </c>
      <c r="D16" s="243" t="s">
        <v>209</v>
      </c>
      <c r="E16" s="244">
        <v>46057</v>
      </c>
      <c r="F16" s="243" t="s">
        <v>274</v>
      </c>
      <c r="G16" s="243">
        <v>-3422672</v>
      </c>
      <c r="H16" s="243" t="s">
        <v>280</v>
      </c>
      <c r="I16" s="243" t="s">
        <v>196</v>
      </c>
      <c r="J16" s="245">
        <v>46138</v>
      </c>
      <c r="K16" t="e">
        <f>VLOOKUP(D16,Sales!$G$3:$G$45,1,FALSE)</f>
        <v>#N/A</v>
      </c>
      <c r="M16" t="e">
        <f>VLOOKUP(D16,Charges!$D$8:$D$25,1,FALSE)</f>
        <v>#N/A</v>
      </c>
      <c r="O16" t="str">
        <f>VLOOKUP(D16,Retirement!$F$12:$F$79,1,FALSE)</f>
        <v>469BC04260090002</v>
      </c>
      <c r="Q16" t="s">
        <v>209</v>
      </c>
    </row>
    <row r="17" spans="1:20">
      <c r="A17" s="246" t="s">
        <v>281</v>
      </c>
      <c r="B17" s="247">
        <v>16469529.76</v>
      </c>
      <c r="C17" s="247" t="s">
        <v>282</v>
      </c>
      <c r="D17" s="247" t="s">
        <v>99</v>
      </c>
      <c r="E17" s="248">
        <v>46057</v>
      </c>
      <c r="F17" s="247" t="s">
        <v>274</v>
      </c>
      <c r="G17" s="247">
        <v>16469529.76</v>
      </c>
      <c r="H17" s="247" t="s">
        <v>281</v>
      </c>
      <c r="I17" s="247" t="s">
        <v>196</v>
      </c>
      <c r="J17" s="249">
        <v>46138</v>
      </c>
      <c r="K17" t="str">
        <f>VLOOKUP(D17,Sales!$G$3:$G$45,1,FALSE)</f>
        <v>469BC89260890006</v>
      </c>
      <c r="L17">
        <f>VLOOKUP(D17,Sales!$G$3:$X60,18,FALSE)</f>
        <v>137791.85999999999</v>
      </c>
      <c r="M17" t="e">
        <f>VLOOKUP(D17,Charges!$D$8:$D$25,1,FALSE)</f>
        <v>#N/A</v>
      </c>
      <c r="O17" t="e">
        <f>VLOOKUP(D17,Retirement!$F$12:$F$79,1,FALSE)</f>
        <v>#N/A</v>
      </c>
      <c r="Q17" t="s">
        <v>99</v>
      </c>
    </row>
    <row r="18" spans="1:20">
      <c r="A18" s="242" t="s">
        <v>275</v>
      </c>
      <c r="B18" s="243">
        <v>45</v>
      </c>
      <c r="C18" s="243" t="s">
        <v>273</v>
      </c>
      <c r="D18" s="243" t="s">
        <v>242</v>
      </c>
      <c r="E18" s="244">
        <v>46057</v>
      </c>
      <c r="F18" s="243" t="s">
        <v>274</v>
      </c>
      <c r="G18" s="243">
        <v>-45</v>
      </c>
      <c r="H18" s="243" t="s">
        <v>275</v>
      </c>
      <c r="I18" s="243" t="s">
        <v>76</v>
      </c>
      <c r="J18" s="245">
        <v>46138</v>
      </c>
      <c r="K18" t="e">
        <f>VLOOKUP(D18,Sales!$G$3:$G$45,1,FALSE)</f>
        <v>#N/A</v>
      </c>
      <c r="M18" t="e">
        <f>VLOOKUP(D18,Charges!$D$8:$D$25,1,FALSE)</f>
        <v>#N/A</v>
      </c>
      <c r="O18" t="str">
        <f>VLOOKUP(D18,Retirement!$F$12:$F$79,1,FALSE)</f>
        <v>469BC89253430007</v>
      </c>
      <c r="Q18" t="s">
        <v>242</v>
      </c>
    </row>
    <row r="19" spans="1:20">
      <c r="A19" s="246" t="s">
        <v>275</v>
      </c>
      <c r="B19" s="247">
        <v>45</v>
      </c>
      <c r="C19" s="247" t="s">
        <v>273</v>
      </c>
      <c r="D19" s="247" t="s">
        <v>244</v>
      </c>
      <c r="E19" s="248">
        <v>46057</v>
      </c>
      <c r="F19" s="247" t="s">
        <v>274</v>
      </c>
      <c r="G19" s="247">
        <v>-45</v>
      </c>
      <c r="H19" s="247" t="s">
        <v>275</v>
      </c>
      <c r="I19" s="247" t="s">
        <v>76</v>
      </c>
      <c r="J19" s="249">
        <v>46138</v>
      </c>
      <c r="K19" t="e">
        <f>VLOOKUP(D19,Sales!$G$3:$G$45,1,FALSE)</f>
        <v>#N/A</v>
      </c>
      <c r="M19" t="e">
        <f>VLOOKUP(D19,Charges!$D$8:$D$25,1,FALSE)</f>
        <v>#N/A</v>
      </c>
      <c r="O19" t="str">
        <f>VLOOKUP(D19,Retirement!$F$12:$F$79,1,FALSE)</f>
        <v>469BC89253460001</v>
      </c>
      <c r="Q19" t="s">
        <v>244</v>
      </c>
    </row>
    <row r="20" spans="1:20">
      <c r="A20" s="242" t="s">
        <v>275</v>
      </c>
      <c r="B20" s="243">
        <v>45</v>
      </c>
      <c r="C20" s="243" t="s">
        <v>273</v>
      </c>
      <c r="D20" s="243" t="s">
        <v>252</v>
      </c>
      <c r="E20" s="244">
        <v>46057</v>
      </c>
      <c r="F20" s="243" t="s">
        <v>274</v>
      </c>
      <c r="G20" s="243">
        <v>-45</v>
      </c>
      <c r="H20" s="243" t="s">
        <v>275</v>
      </c>
      <c r="I20" s="243" t="s">
        <v>76</v>
      </c>
      <c r="J20" s="245">
        <v>46138</v>
      </c>
      <c r="K20" t="e">
        <f>VLOOKUP(D20,Sales!$G$3:$G$45,1,FALSE)</f>
        <v>#N/A</v>
      </c>
      <c r="M20" t="e">
        <f>VLOOKUP(D20,Charges!$D$8:$D$25,1,FALSE)</f>
        <v>#N/A</v>
      </c>
      <c r="O20" t="str">
        <f>VLOOKUP(D20,Retirement!$F$12:$F$79,1,FALSE)</f>
        <v>469BC89260350001</v>
      </c>
      <c r="Q20" t="s">
        <v>252</v>
      </c>
    </row>
    <row r="21" spans="1:20">
      <c r="A21" s="246" t="s">
        <v>276</v>
      </c>
      <c r="B21" s="247">
        <v>1770</v>
      </c>
      <c r="C21" s="247" t="s">
        <v>273</v>
      </c>
      <c r="D21" s="247" t="s">
        <v>204</v>
      </c>
      <c r="E21" s="248">
        <v>46116</v>
      </c>
      <c r="F21" s="247" t="s">
        <v>277</v>
      </c>
      <c r="G21" s="247">
        <v>-1770</v>
      </c>
      <c r="H21" s="247" t="s">
        <v>276</v>
      </c>
      <c r="I21" s="247" t="s">
        <v>278</v>
      </c>
      <c r="J21" s="249">
        <v>46138</v>
      </c>
      <c r="K21" t="e">
        <f>VLOOKUP(D21,Sales!$G$3:$G$45,1,FALSE)</f>
        <v>#N/A</v>
      </c>
      <c r="M21" t="str">
        <f>VLOOKUP(D21,Charges!$D$8:$D$25,1,FALSE)</f>
        <v>014LCEX260920018</v>
      </c>
      <c r="O21" t="e">
        <f>VLOOKUP(D21,Retirement!$F$12:$F$79,1,FALSE)</f>
        <v>#N/A</v>
      </c>
      <c r="Q21" t="s">
        <v>204</v>
      </c>
    </row>
    <row r="22" spans="1:20">
      <c r="A22" s="242" t="s">
        <v>283</v>
      </c>
      <c r="B22" s="243">
        <v>1180</v>
      </c>
      <c r="C22" s="243" t="s">
        <v>273</v>
      </c>
      <c r="D22" s="243" t="s">
        <v>201</v>
      </c>
      <c r="E22" s="244">
        <v>46116</v>
      </c>
      <c r="F22" s="243" t="s">
        <v>277</v>
      </c>
      <c r="G22" s="243">
        <v>-1180</v>
      </c>
      <c r="H22" s="243" t="s">
        <v>283</v>
      </c>
      <c r="I22" s="243" t="s">
        <v>284</v>
      </c>
      <c r="J22" s="245">
        <v>46138</v>
      </c>
      <c r="K22" t="e">
        <f>VLOOKUP(D22,Sales!$G$3:$G$45,1,FALSE)</f>
        <v>#N/A</v>
      </c>
      <c r="M22" t="str">
        <f>VLOOKUP(D22,Charges!$D$8:$D$25,1,FALSE)</f>
        <v>014LCEX253590021</v>
      </c>
      <c r="O22" t="e">
        <f>VLOOKUP(D22,Retirement!$F$12:$F$79,1,FALSE)</f>
        <v>#N/A</v>
      </c>
      <c r="Q22" t="s">
        <v>201</v>
      </c>
    </row>
    <row r="23" spans="1:20">
      <c r="A23" s="246" t="s">
        <v>280</v>
      </c>
      <c r="B23" s="247">
        <v>2164595</v>
      </c>
      <c r="C23" s="247" t="s">
        <v>273</v>
      </c>
      <c r="D23" s="247" t="s">
        <v>208</v>
      </c>
      <c r="E23" s="248">
        <v>46116</v>
      </c>
      <c r="F23" s="247" t="s">
        <v>274</v>
      </c>
      <c r="G23" s="247">
        <v>-2164595</v>
      </c>
      <c r="H23" s="247" t="s">
        <v>280</v>
      </c>
      <c r="I23" s="247" t="s">
        <v>196</v>
      </c>
      <c r="J23" s="249">
        <v>46138</v>
      </c>
      <c r="K23" t="e">
        <f>VLOOKUP(D23,Sales!$G$3:$G$45,1,FALSE)</f>
        <v>#N/A</v>
      </c>
      <c r="M23" t="e">
        <f>VLOOKUP(D23,Charges!$D$8:$D$25,1,FALSE)</f>
        <v>#N/A</v>
      </c>
      <c r="O23" t="str">
        <f>VLOOKUP(D23,Retirement!$F$12:$F$79,1,FALSE)</f>
        <v>469BC04260090001</v>
      </c>
      <c r="Q23" t="s">
        <v>208</v>
      </c>
    </row>
    <row r="24" spans="1:20">
      <c r="A24" s="242" t="s">
        <v>281</v>
      </c>
      <c r="B24" s="243">
        <v>29114794.34</v>
      </c>
      <c r="C24" s="243" t="s">
        <v>282</v>
      </c>
      <c r="D24" s="243" t="s">
        <v>93</v>
      </c>
      <c r="E24" s="244">
        <v>46177</v>
      </c>
      <c r="F24" s="243" t="s">
        <v>274</v>
      </c>
      <c r="G24" s="243">
        <v>29114794.34</v>
      </c>
      <c r="H24" s="243" t="s">
        <v>281</v>
      </c>
      <c r="I24" s="243" t="s">
        <v>196</v>
      </c>
      <c r="J24" s="245">
        <v>46138</v>
      </c>
      <c r="K24" t="str">
        <f>VLOOKUP(D24,Sales!$G$3:$G$45,1,FALSE)</f>
        <v>469BC89260860007</v>
      </c>
      <c r="L24">
        <f>VLOOKUP(D24,Sales!$G$3:$X67,18,FALSE)</f>
        <v>351388.21</v>
      </c>
      <c r="M24" t="e">
        <f>VLOOKUP(D24,Charges!$D$8:$D$25,1,FALSE)</f>
        <v>#N/A</v>
      </c>
      <c r="O24" t="e">
        <f>VLOOKUP(D24,Retirement!$F$12:$F$79,1,FALSE)</f>
        <v>#N/A</v>
      </c>
      <c r="Q24" t="s">
        <v>93</v>
      </c>
    </row>
    <row r="25" spans="1:20">
      <c r="A25" s="246" t="s">
        <v>279</v>
      </c>
      <c r="B25" s="247">
        <v>2360</v>
      </c>
      <c r="C25" s="247" t="s">
        <v>273</v>
      </c>
      <c r="D25" s="247" t="s">
        <v>236</v>
      </c>
      <c r="E25" s="248">
        <v>46177</v>
      </c>
      <c r="F25" s="247" t="s">
        <v>274</v>
      </c>
      <c r="G25" s="247">
        <v>-2360</v>
      </c>
      <c r="H25" s="247" t="s">
        <v>279</v>
      </c>
      <c r="I25" s="247" t="s">
        <v>196</v>
      </c>
      <c r="J25" s="249">
        <v>46138</v>
      </c>
      <c r="K25" t="e">
        <f>VLOOKUP(D25,Sales!$G$3:$G$45,1,FALSE)</f>
        <v>#N/A</v>
      </c>
      <c r="M25" t="e">
        <f>VLOOKUP(D25,Charges!$D$8:$D$25,1,FALSE)</f>
        <v>#N/A</v>
      </c>
      <c r="O25" t="str">
        <f>VLOOKUP(D25,Retirement!$F$12:$F$79,1,FALSE)</f>
        <v>469BC73260940004</v>
      </c>
      <c r="Q25" t="s">
        <v>236</v>
      </c>
    </row>
    <row r="26" spans="1:20">
      <c r="A26" s="242" t="s">
        <v>280</v>
      </c>
      <c r="B26" s="243">
        <v>2409160</v>
      </c>
      <c r="C26" s="243" t="s">
        <v>273</v>
      </c>
      <c r="D26" s="243" t="s">
        <v>210</v>
      </c>
      <c r="E26" s="244">
        <v>46177</v>
      </c>
      <c r="F26" s="243" t="s">
        <v>274</v>
      </c>
      <c r="G26" s="243">
        <v>-2409160</v>
      </c>
      <c r="H26" s="243" t="s">
        <v>280</v>
      </c>
      <c r="I26" s="243" t="s">
        <v>196</v>
      </c>
      <c r="J26" s="245">
        <v>46138</v>
      </c>
      <c r="K26" t="e">
        <f>VLOOKUP(D26,Sales!$G$3:$G$45,1,FALSE)</f>
        <v>#N/A</v>
      </c>
      <c r="M26" t="e">
        <f>VLOOKUP(D26,Charges!$D$8:$D$25,1,FALSE)</f>
        <v>#N/A</v>
      </c>
      <c r="O26" t="str">
        <f>VLOOKUP(D26,Retirement!$F$12:$F$79,1,FALSE)</f>
        <v>469BC04260150002</v>
      </c>
      <c r="Q26" t="s">
        <v>210</v>
      </c>
    </row>
    <row r="27" spans="1:20">
      <c r="A27" s="246" t="s">
        <v>285</v>
      </c>
      <c r="B27" s="247">
        <v>41645.14</v>
      </c>
      <c r="C27" s="247" t="s">
        <v>282</v>
      </c>
      <c r="D27" s="247" t="s">
        <v>247</v>
      </c>
      <c r="E27" s="248">
        <v>46207</v>
      </c>
      <c r="F27" s="247" t="s">
        <v>274</v>
      </c>
      <c r="G27" s="247">
        <v>41645.14</v>
      </c>
      <c r="H27" s="247" t="s">
        <v>285</v>
      </c>
      <c r="I27" s="247" t="s">
        <v>196</v>
      </c>
      <c r="J27" s="249">
        <v>46138</v>
      </c>
      <c r="K27" t="e">
        <f>VLOOKUP(D27,Sales!$G$3:$G$45,1,FALSE)</f>
        <v>#N/A</v>
      </c>
      <c r="M27" t="e">
        <f>VLOOKUP(D27,Charges!$D$8:$D$25,1,FALSE)</f>
        <v>#N/A</v>
      </c>
      <c r="O27" t="str">
        <f>VLOOKUP(D27,Retirement!$F$12:$F$79,1,FALSE)</f>
        <v>469BC89260090006</v>
      </c>
      <c r="Q27" t="s">
        <v>286</v>
      </c>
      <c r="T27">
        <f>G27</f>
        <v>41645.14</v>
      </c>
    </row>
    <row r="28" spans="1:20">
      <c r="A28" s="242" t="s">
        <v>272</v>
      </c>
      <c r="B28" s="243">
        <v>7205.9</v>
      </c>
      <c r="C28" s="243" t="s">
        <v>273</v>
      </c>
      <c r="D28" s="243" t="s">
        <v>247</v>
      </c>
      <c r="E28" s="244">
        <v>46207</v>
      </c>
      <c r="F28" s="243" t="s">
        <v>274</v>
      </c>
      <c r="G28" s="243">
        <v>-7205.9</v>
      </c>
      <c r="H28" s="243" t="s">
        <v>272</v>
      </c>
      <c r="I28" s="243" t="s">
        <v>196</v>
      </c>
      <c r="J28" s="245">
        <v>46138</v>
      </c>
      <c r="K28" t="e">
        <f>VLOOKUP(D28,Sales!$G$3:$G$45,1,FALSE)</f>
        <v>#N/A</v>
      </c>
      <c r="M28" t="e">
        <f>VLOOKUP(D28,Charges!$D$8:$D$25,1,FALSE)</f>
        <v>#N/A</v>
      </c>
      <c r="O28" t="str">
        <f>VLOOKUP(D28,Retirement!$F$12:$F$79,1,FALSE)</f>
        <v>469BC89260090006</v>
      </c>
      <c r="Q28" t="s">
        <v>286</v>
      </c>
    </row>
    <row r="29" spans="1:20">
      <c r="A29" s="246" t="s">
        <v>272</v>
      </c>
      <c r="B29" s="247">
        <v>25497.8</v>
      </c>
      <c r="C29" s="247" t="s">
        <v>273</v>
      </c>
      <c r="D29" s="247" t="s">
        <v>256</v>
      </c>
      <c r="E29" s="248">
        <v>46207</v>
      </c>
      <c r="F29" s="247" t="s">
        <v>274</v>
      </c>
      <c r="G29" s="247">
        <v>-25497.8</v>
      </c>
      <c r="H29" s="247" t="s">
        <v>272</v>
      </c>
      <c r="I29" s="247" t="s">
        <v>196</v>
      </c>
      <c r="J29" s="249">
        <v>46138</v>
      </c>
      <c r="K29" t="e">
        <f>VLOOKUP(D29,Sales!$G$3:$G$45,1,FALSE)</f>
        <v>#N/A</v>
      </c>
      <c r="M29" t="e">
        <f>VLOOKUP(D29,Charges!$D$8:$D$25,1,FALSE)</f>
        <v>#N/A</v>
      </c>
      <c r="O29" t="str">
        <f>VLOOKUP(D29,Retirement!$F$12:$F$79,1,FALSE)</f>
        <v>469BC89260500003</v>
      </c>
      <c r="Q29" t="s">
        <v>256</v>
      </c>
    </row>
    <row r="30" spans="1:20">
      <c r="A30" s="242" t="s">
        <v>279</v>
      </c>
      <c r="B30" s="243">
        <v>2360</v>
      </c>
      <c r="C30" s="243" t="s">
        <v>273</v>
      </c>
      <c r="D30" s="243" t="s">
        <v>237</v>
      </c>
      <c r="E30" s="244">
        <v>46207</v>
      </c>
      <c r="F30" s="243" t="s">
        <v>274</v>
      </c>
      <c r="G30" s="243">
        <v>-2360</v>
      </c>
      <c r="H30" s="243" t="s">
        <v>279</v>
      </c>
      <c r="I30" s="243" t="s">
        <v>196</v>
      </c>
      <c r="J30" s="245">
        <v>46138</v>
      </c>
      <c r="K30" t="e">
        <f>VLOOKUP(D30,Sales!$G$3:$G$45,1,FALSE)</f>
        <v>#N/A</v>
      </c>
      <c r="M30" t="e">
        <f>VLOOKUP(D30,Charges!$D$8:$D$25,1,FALSE)</f>
        <v>#N/A</v>
      </c>
      <c r="O30" t="str">
        <f>VLOOKUP(D30,Retirement!$F$12:$F$79,1,FALSE)</f>
        <v>469BC73260970007</v>
      </c>
      <c r="Q30" t="s">
        <v>237</v>
      </c>
    </row>
    <row r="31" spans="1:20">
      <c r="A31" s="246" t="s">
        <v>280</v>
      </c>
      <c r="B31" s="247">
        <v>2592392</v>
      </c>
      <c r="C31" s="247" t="s">
        <v>273</v>
      </c>
      <c r="D31" s="247" t="s">
        <v>211</v>
      </c>
      <c r="E31" s="248">
        <v>46207</v>
      </c>
      <c r="F31" s="247" t="s">
        <v>274</v>
      </c>
      <c r="G31" s="247">
        <v>-2592392</v>
      </c>
      <c r="H31" s="247" t="s">
        <v>280</v>
      </c>
      <c r="I31" s="247" t="s">
        <v>196</v>
      </c>
      <c r="J31" s="249">
        <v>46138</v>
      </c>
      <c r="K31" t="e">
        <f>VLOOKUP(D31,Sales!$G$3:$G$45,1,FALSE)</f>
        <v>#N/A</v>
      </c>
      <c r="M31" t="e">
        <f>VLOOKUP(D31,Charges!$D$8:$D$25,1,FALSE)</f>
        <v>#N/A</v>
      </c>
      <c r="O31" t="str">
        <f>VLOOKUP(D31,Retirement!$F$12:$F$79,1,FALSE)</f>
        <v>469BC04260150003</v>
      </c>
      <c r="Q31" t="s">
        <v>211</v>
      </c>
    </row>
    <row r="32" spans="1:20">
      <c r="A32" s="242" t="s">
        <v>275</v>
      </c>
      <c r="B32" s="243">
        <v>45</v>
      </c>
      <c r="C32" s="243" t="s">
        <v>273</v>
      </c>
      <c r="D32" s="243" t="s">
        <v>256</v>
      </c>
      <c r="E32" s="244">
        <v>46238</v>
      </c>
      <c r="F32" s="243" t="s">
        <v>274</v>
      </c>
      <c r="G32" s="243">
        <v>-45</v>
      </c>
      <c r="H32" s="243" t="s">
        <v>275</v>
      </c>
      <c r="I32" s="243" t="s">
        <v>76</v>
      </c>
      <c r="J32" s="245">
        <v>46138</v>
      </c>
      <c r="K32" t="e">
        <f>VLOOKUP(D32,Sales!$G$3:$G$45,1,FALSE)</f>
        <v>#N/A</v>
      </c>
      <c r="M32" t="e">
        <f>VLOOKUP(D32,Charges!$D$8:$D$25,1,FALSE)</f>
        <v>#N/A</v>
      </c>
      <c r="O32" t="str">
        <f>VLOOKUP(D32,Retirement!$F$12:$F$79,1,FALSE)</f>
        <v>469BC89260500003</v>
      </c>
      <c r="Q32" t="s">
        <v>256</v>
      </c>
    </row>
    <row r="33" spans="1:17">
      <c r="A33" s="246" t="s">
        <v>275</v>
      </c>
      <c r="B33" s="247">
        <v>45</v>
      </c>
      <c r="C33" s="247" t="s">
        <v>273</v>
      </c>
      <c r="D33" s="247" t="s">
        <v>247</v>
      </c>
      <c r="E33" s="248">
        <v>46238</v>
      </c>
      <c r="F33" s="247" t="s">
        <v>274</v>
      </c>
      <c r="G33" s="247">
        <v>-45</v>
      </c>
      <c r="H33" s="247" t="s">
        <v>275</v>
      </c>
      <c r="I33" s="247" t="s">
        <v>76</v>
      </c>
      <c r="J33" s="249">
        <v>46138</v>
      </c>
      <c r="K33" t="e">
        <f>VLOOKUP(D33,Sales!$G$3:$G$45,1,FALSE)</f>
        <v>#N/A</v>
      </c>
      <c r="M33" t="e">
        <f>VLOOKUP(D33,Charges!$D$8:$D$25,1,FALSE)</f>
        <v>#N/A</v>
      </c>
      <c r="O33" t="str">
        <f>VLOOKUP(D33,Retirement!$F$12:$F$79,1,FALSE)</f>
        <v>469BC89260090006</v>
      </c>
      <c r="Q33" t="s">
        <v>286</v>
      </c>
    </row>
    <row r="34" spans="1:17">
      <c r="A34" s="242" t="s">
        <v>280</v>
      </c>
      <c r="B34" s="243">
        <v>7619134</v>
      </c>
      <c r="C34" s="243" t="s">
        <v>273</v>
      </c>
      <c r="D34" s="243" t="s">
        <v>216</v>
      </c>
      <c r="E34" s="244">
        <v>46238</v>
      </c>
      <c r="F34" s="243" t="s">
        <v>274</v>
      </c>
      <c r="G34" s="243">
        <v>-7619134</v>
      </c>
      <c r="H34" s="243" t="s">
        <v>280</v>
      </c>
      <c r="I34" s="243" t="s">
        <v>196</v>
      </c>
      <c r="J34" s="245">
        <v>46138</v>
      </c>
      <c r="K34" t="e">
        <f>VLOOKUP(D34,Sales!$G$3:$G$45,1,FALSE)</f>
        <v>#N/A</v>
      </c>
      <c r="M34" t="e">
        <f>VLOOKUP(D34,Charges!$D$8:$D$25,1,FALSE)</f>
        <v>#N/A</v>
      </c>
      <c r="O34" t="str">
        <f>VLOOKUP(D34,Retirement!$F$12:$F$79,1,FALSE)</f>
        <v>469BC04260150013</v>
      </c>
      <c r="Q34" t="s">
        <v>286</v>
      </c>
    </row>
    <row r="35" spans="1:17">
      <c r="A35" s="246" t="s">
        <v>280</v>
      </c>
      <c r="B35" s="247">
        <v>10202035</v>
      </c>
      <c r="C35" s="247" t="s">
        <v>273</v>
      </c>
      <c r="D35" s="247" t="s">
        <v>218</v>
      </c>
      <c r="E35" s="248">
        <v>46269</v>
      </c>
      <c r="F35" s="247" t="s">
        <v>274</v>
      </c>
      <c r="G35" s="247">
        <v>-10202035</v>
      </c>
      <c r="H35" s="247" t="s">
        <v>280</v>
      </c>
      <c r="I35" s="247" t="s">
        <v>196</v>
      </c>
      <c r="J35" s="249">
        <v>46138</v>
      </c>
      <c r="K35" t="e">
        <f>VLOOKUP(D35,Sales!$G$3:$G$45,1,FALSE)</f>
        <v>#N/A</v>
      </c>
      <c r="M35" t="e">
        <f>VLOOKUP(D35,Charges!$D$8:$D$25,1,FALSE)</f>
        <v>#N/A</v>
      </c>
      <c r="O35" t="str">
        <f>VLOOKUP(D35,Retirement!$F$12:$F$79,1,FALSE)</f>
        <v>469BC04260190010</v>
      </c>
      <c r="Q35" t="s">
        <v>218</v>
      </c>
    </row>
    <row r="36" spans="1:17">
      <c r="A36" s="242" t="s">
        <v>279</v>
      </c>
      <c r="B36" s="243">
        <v>2360</v>
      </c>
      <c r="C36" s="243" t="s">
        <v>273</v>
      </c>
      <c r="D36" s="243" t="s">
        <v>234</v>
      </c>
      <c r="E36" s="244">
        <v>46269</v>
      </c>
      <c r="F36" s="243" t="s">
        <v>274</v>
      </c>
      <c r="G36" s="243">
        <v>-2360</v>
      </c>
      <c r="H36" s="243" t="s">
        <v>279</v>
      </c>
      <c r="I36" s="243" t="s">
        <v>196</v>
      </c>
      <c r="J36" s="245">
        <v>46138</v>
      </c>
      <c r="K36" t="e">
        <f>VLOOKUP(D36,Sales!$G$3:$G$45,1,FALSE)</f>
        <v>#N/A</v>
      </c>
      <c r="M36" t="e">
        <f>VLOOKUP(D36,Charges!$D$8:$D$25,1,FALSE)</f>
        <v>#N/A</v>
      </c>
      <c r="O36" t="str">
        <f>VLOOKUP(D36,Retirement!$F$12:$F$79,1,FALSE)</f>
        <v>469BC63260990003</v>
      </c>
      <c r="Q36" t="s">
        <v>234</v>
      </c>
    </row>
    <row r="37" spans="1:17">
      <c r="A37" s="246" t="s">
        <v>279</v>
      </c>
      <c r="B37" s="247">
        <v>2360</v>
      </c>
      <c r="C37" s="247" t="s">
        <v>273</v>
      </c>
      <c r="D37" s="247" t="s">
        <v>238</v>
      </c>
      <c r="E37" s="248">
        <v>46269</v>
      </c>
      <c r="F37" s="247" t="s">
        <v>274</v>
      </c>
      <c r="G37" s="247">
        <v>-2360</v>
      </c>
      <c r="H37" s="247" t="s">
        <v>279</v>
      </c>
      <c r="I37" s="247" t="s">
        <v>196</v>
      </c>
      <c r="J37" s="249">
        <v>46138</v>
      </c>
      <c r="K37" t="e">
        <f>VLOOKUP(D37,Sales!$G$3:$G$45,1,FALSE)</f>
        <v>#N/A</v>
      </c>
      <c r="M37" t="e">
        <f>VLOOKUP(D37,Charges!$D$8:$D$25,1,FALSE)</f>
        <v>#N/A</v>
      </c>
      <c r="O37" t="str">
        <f>VLOOKUP(D37,Retirement!$F$12:$F$79,1,FALSE)</f>
        <v>469BC73260990003</v>
      </c>
      <c r="Q37" t="s">
        <v>238</v>
      </c>
    </row>
    <row r="38" spans="1:17">
      <c r="A38" s="242" t="s">
        <v>279</v>
      </c>
      <c r="B38" s="243">
        <v>2360</v>
      </c>
      <c r="C38" s="243" t="s">
        <v>273</v>
      </c>
      <c r="D38" s="243" t="s">
        <v>233</v>
      </c>
      <c r="E38" s="244">
        <v>46269</v>
      </c>
      <c r="F38" s="243" t="s">
        <v>274</v>
      </c>
      <c r="G38" s="243">
        <v>-2360</v>
      </c>
      <c r="H38" s="243" t="s">
        <v>279</v>
      </c>
      <c r="I38" s="243" t="s">
        <v>196</v>
      </c>
      <c r="J38" s="245">
        <v>46138</v>
      </c>
      <c r="K38" t="e">
        <f>VLOOKUP(D38,Sales!$G$3:$G$45,1,FALSE)</f>
        <v>#N/A</v>
      </c>
      <c r="M38" t="e">
        <f>VLOOKUP(D38,Charges!$D$8:$D$25,1,FALSE)</f>
        <v>#N/A</v>
      </c>
      <c r="O38" t="str">
        <f>VLOOKUP(D38,Retirement!$F$12:$F$79,1,FALSE)</f>
        <v>469BC63260990002</v>
      </c>
      <c r="Q38" t="s">
        <v>233</v>
      </c>
    </row>
    <row r="39" spans="1:17">
      <c r="A39" s="246" t="s">
        <v>280</v>
      </c>
      <c r="B39" s="247">
        <v>2617891</v>
      </c>
      <c r="C39" s="247" t="s">
        <v>273</v>
      </c>
      <c r="D39" s="247" t="s">
        <v>212</v>
      </c>
      <c r="E39" s="248">
        <v>46299</v>
      </c>
      <c r="F39" s="247" t="s">
        <v>274</v>
      </c>
      <c r="G39" s="247">
        <v>-2617891</v>
      </c>
      <c r="H39" s="247" t="s">
        <v>280</v>
      </c>
      <c r="I39" s="247" t="s">
        <v>196</v>
      </c>
      <c r="J39" s="249">
        <v>46138</v>
      </c>
      <c r="K39" t="e">
        <f>VLOOKUP(D39,Sales!$G$3:$G$45,1,FALSE)</f>
        <v>#N/A</v>
      </c>
      <c r="M39" t="e">
        <f>VLOOKUP(D39,Charges!$D$8:$D$25,1,FALSE)</f>
        <v>#N/A</v>
      </c>
      <c r="O39" t="str">
        <f>VLOOKUP(D39,Retirement!$F$12:$F$79,1,FALSE)</f>
        <v>469BC04260150005</v>
      </c>
      <c r="Q39" t="s">
        <v>212</v>
      </c>
    </row>
    <row r="40" spans="1:17">
      <c r="A40" s="242" t="s">
        <v>280</v>
      </c>
      <c r="B40" s="243">
        <v>14435766</v>
      </c>
      <c r="C40" s="243" t="s">
        <v>273</v>
      </c>
      <c r="D40" s="243" t="s">
        <v>213</v>
      </c>
      <c r="E40" s="244">
        <v>46299</v>
      </c>
      <c r="F40" s="243" t="s">
        <v>274</v>
      </c>
      <c r="G40" s="243">
        <v>-14435766</v>
      </c>
      <c r="H40" s="243" t="s">
        <v>280</v>
      </c>
      <c r="I40" s="243" t="s">
        <v>196</v>
      </c>
      <c r="J40" s="245">
        <v>46138</v>
      </c>
      <c r="K40" t="e">
        <f>VLOOKUP(D40,Sales!$G$3:$G$45,1,FALSE)</f>
        <v>#N/A</v>
      </c>
      <c r="M40" t="e">
        <f>VLOOKUP(D40,Charges!$D$8:$D$25,1,FALSE)</f>
        <v>#N/A</v>
      </c>
      <c r="O40" t="str">
        <f>VLOOKUP(D40,Retirement!$F$12:$F$79,1,FALSE)</f>
        <v>469BC04260150007</v>
      </c>
      <c r="Q40" t="s">
        <v>213</v>
      </c>
    </row>
    <row r="41" spans="1:17">
      <c r="A41" s="246" t="s">
        <v>280</v>
      </c>
      <c r="B41" s="247">
        <v>1996972</v>
      </c>
      <c r="C41" s="247" t="s">
        <v>273</v>
      </c>
      <c r="D41" s="247" t="s">
        <v>214</v>
      </c>
      <c r="E41" s="248">
        <v>46299</v>
      </c>
      <c r="F41" s="247" t="s">
        <v>274</v>
      </c>
      <c r="G41" s="247">
        <v>-1996972</v>
      </c>
      <c r="H41" s="247" t="s">
        <v>280</v>
      </c>
      <c r="I41" s="247" t="s">
        <v>196</v>
      </c>
      <c r="J41" s="249">
        <v>46138</v>
      </c>
      <c r="K41" t="e">
        <f>VLOOKUP(D41,Sales!$G$3:$G$45,1,FALSE)</f>
        <v>#N/A</v>
      </c>
      <c r="M41" t="e">
        <f>VLOOKUP(D41,Charges!$D$8:$D$25,1,FALSE)</f>
        <v>#N/A</v>
      </c>
      <c r="O41" t="str">
        <f>VLOOKUP(D41,Retirement!$F$12:$F$79,1,FALSE)</f>
        <v>469BC04260150009</v>
      </c>
      <c r="Q41" t="s">
        <v>214</v>
      </c>
    </row>
    <row r="42" spans="1:17">
      <c r="A42" s="242" t="s">
        <v>280</v>
      </c>
      <c r="B42" s="243">
        <v>5137822</v>
      </c>
      <c r="C42" s="243" t="s">
        <v>273</v>
      </c>
      <c r="D42" s="243" t="s">
        <v>215</v>
      </c>
      <c r="E42" s="244">
        <v>46299</v>
      </c>
      <c r="F42" s="243" t="s">
        <v>274</v>
      </c>
      <c r="G42" s="243">
        <v>-5137822</v>
      </c>
      <c r="H42" s="243" t="s">
        <v>280</v>
      </c>
      <c r="I42" s="243" t="s">
        <v>196</v>
      </c>
      <c r="J42" s="245">
        <v>46138</v>
      </c>
      <c r="K42" t="e">
        <f>VLOOKUP(D42,Sales!$G$3:$G$45,1,FALSE)</f>
        <v>#N/A</v>
      </c>
      <c r="M42" t="e">
        <f>VLOOKUP(D42,Charges!$D$8:$D$25,1,FALSE)</f>
        <v>#N/A</v>
      </c>
      <c r="O42" t="str">
        <f>VLOOKUP(D42,Retirement!$F$12:$F$79,1,FALSE)</f>
        <v>469BC04260150011</v>
      </c>
      <c r="Q42" t="s">
        <v>215</v>
      </c>
    </row>
    <row r="43" spans="1:17">
      <c r="A43" s="246" t="s">
        <v>287</v>
      </c>
      <c r="B43" s="247">
        <v>5310</v>
      </c>
      <c r="C43" s="247" t="s">
        <v>273</v>
      </c>
      <c r="D43" s="247" t="s">
        <v>118</v>
      </c>
      <c r="E43" s="247" t="s">
        <v>288</v>
      </c>
      <c r="F43" s="247" t="s">
        <v>274</v>
      </c>
      <c r="G43" s="247">
        <v>-5310</v>
      </c>
      <c r="H43" s="247" t="s">
        <v>287</v>
      </c>
      <c r="I43" s="247" t="s">
        <v>278</v>
      </c>
      <c r="J43" s="249">
        <v>46138</v>
      </c>
      <c r="K43" t="str">
        <f>VLOOKUP(D43,Sales!$G$3:$G$45,1,FALSE)</f>
        <v>469BC89261030010</v>
      </c>
      <c r="L43">
        <f>VLOOKUP(D43,Sales!$G$3:$X86,18,FALSE)</f>
        <v>67942.58</v>
      </c>
      <c r="M43" t="e">
        <f>VLOOKUP(D43,Charges!$D$8:$D$25,1,FALSE)</f>
        <v>#N/A</v>
      </c>
      <c r="O43" t="e">
        <f>VLOOKUP(D43,Retirement!$F$12:$F$79,1,FALSE)</f>
        <v>#N/A</v>
      </c>
      <c r="Q43" t="s">
        <v>118</v>
      </c>
    </row>
    <row r="44" spans="1:17">
      <c r="A44" s="242" t="s">
        <v>287</v>
      </c>
      <c r="B44" s="243">
        <v>5310</v>
      </c>
      <c r="C44" s="243" t="s">
        <v>273</v>
      </c>
      <c r="D44" s="243" t="s">
        <v>112</v>
      </c>
      <c r="E44" s="243" t="s">
        <v>288</v>
      </c>
      <c r="F44" s="243" t="s">
        <v>274</v>
      </c>
      <c r="G44" s="243">
        <v>-5310</v>
      </c>
      <c r="H44" s="243" t="s">
        <v>287</v>
      </c>
      <c r="I44" s="243" t="s">
        <v>278</v>
      </c>
      <c r="J44" s="245">
        <v>46138</v>
      </c>
      <c r="K44" t="str">
        <f>VLOOKUP(D44,Sales!$G$3:$G$45,1,FALSE)</f>
        <v>469BC89261030011</v>
      </c>
      <c r="L44">
        <f>VLOOKUP(D44,Sales!$G$3:$X87,18,FALSE)</f>
        <v>166407.01999999999</v>
      </c>
      <c r="M44" t="e">
        <f>VLOOKUP(D44,Charges!$D$8:$D$25,1,FALSE)</f>
        <v>#N/A</v>
      </c>
      <c r="O44" t="e">
        <f>VLOOKUP(D44,Retirement!$F$12:$F$79,1,FALSE)</f>
        <v>#N/A</v>
      </c>
      <c r="Q44" t="s">
        <v>112</v>
      </c>
    </row>
    <row r="45" spans="1:17">
      <c r="A45" s="246" t="s">
        <v>287</v>
      </c>
      <c r="B45" s="247">
        <v>5310</v>
      </c>
      <c r="C45" s="247" t="s">
        <v>273</v>
      </c>
      <c r="D45" s="247" t="s">
        <v>115</v>
      </c>
      <c r="E45" s="247" t="s">
        <v>288</v>
      </c>
      <c r="F45" s="247" t="s">
        <v>274</v>
      </c>
      <c r="G45" s="247">
        <v>-5310</v>
      </c>
      <c r="H45" s="247" t="s">
        <v>287</v>
      </c>
      <c r="I45" s="247" t="s">
        <v>278</v>
      </c>
      <c r="J45" s="249">
        <v>46138</v>
      </c>
      <c r="K45" t="str">
        <f>VLOOKUP(D45,Sales!$G$3:$G$45,1,FALSE)</f>
        <v>469BC89261030007</v>
      </c>
      <c r="L45">
        <f>VLOOKUP(D45,Sales!$G$3:$X88,18,FALSE)</f>
        <v>67407.5</v>
      </c>
      <c r="M45" t="e">
        <f>VLOOKUP(D45,Charges!$D$8:$D$25,1,FALSE)</f>
        <v>#N/A</v>
      </c>
      <c r="O45" t="e">
        <f>VLOOKUP(D45,Retirement!$F$12:$F$79,1,FALSE)</f>
        <v>#N/A</v>
      </c>
      <c r="Q45" t="s">
        <v>115</v>
      </c>
    </row>
    <row r="46" spans="1:17">
      <c r="A46" s="242" t="s">
        <v>281</v>
      </c>
      <c r="B46" s="243">
        <v>2112211.89</v>
      </c>
      <c r="C46" s="243" t="s">
        <v>282</v>
      </c>
      <c r="D46" s="243" t="s">
        <v>107</v>
      </c>
      <c r="E46" s="243" t="s">
        <v>288</v>
      </c>
      <c r="F46" s="243" t="s">
        <v>274</v>
      </c>
      <c r="G46" s="243">
        <v>2112211.89</v>
      </c>
      <c r="H46" s="243" t="s">
        <v>281</v>
      </c>
      <c r="I46" s="243" t="s">
        <v>196</v>
      </c>
      <c r="J46" s="245">
        <v>46138</v>
      </c>
      <c r="K46" t="str">
        <f>VLOOKUP(D46,Sales!$G$3:$G$45,1,FALSE)</f>
        <v>469BC89261030003</v>
      </c>
      <c r="L46">
        <f>VLOOKUP(D46,Sales!$G$3:$X89,18,FALSE)</f>
        <v>16727.489999999998</v>
      </c>
      <c r="M46" t="e">
        <f>VLOOKUP(D46,Charges!$D$8:$D$25,1,FALSE)</f>
        <v>#N/A</v>
      </c>
      <c r="O46" t="e">
        <f>VLOOKUP(D46,Retirement!$F$12:$F$79,1,FALSE)</f>
        <v>#N/A</v>
      </c>
      <c r="Q46" t="s">
        <v>107</v>
      </c>
    </row>
    <row r="47" spans="1:17">
      <c r="A47" s="246" t="s">
        <v>272</v>
      </c>
      <c r="B47" s="247">
        <v>5656.5</v>
      </c>
      <c r="C47" s="247" t="s">
        <v>273</v>
      </c>
      <c r="D47" s="247" t="s">
        <v>254</v>
      </c>
      <c r="E47" s="247" t="s">
        <v>288</v>
      </c>
      <c r="F47" s="247" t="s">
        <v>274</v>
      </c>
      <c r="G47" s="247">
        <v>-5656.5</v>
      </c>
      <c r="H47" s="247" t="s">
        <v>272</v>
      </c>
      <c r="I47" s="247" t="s">
        <v>196</v>
      </c>
      <c r="J47" s="249">
        <v>46138</v>
      </c>
      <c r="K47" t="e">
        <f>VLOOKUP(D47,Sales!$G$3:$G$45,1,FALSE)</f>
        <v>#N/A</v>
      </c>
      <c r="M47" t="e">
        <f>VLOOKUP(D47,Charges!$D$8:$D$25,1,FALSE)</f>
        <v>#N/A</v>
      </c>
      <c r="O47" t="str">
        <f>VLOOKUP(D47,Retirement!$F$12:$F$79,1,FALSE)</f>
        <v>469BC89260470003</v>
      </c>
      <c r="Q47" t="s">
        <v>254</v>
      </c>
    </row>
    <row r="48" spans="1:17">
      <c r="A48" s="242" t="s">
        <v>272</v>
      </c>
      <c r="B48" s="243">
        <v>5656.5</v>
      </c>
      <c r="C48" s="243" t="s">
        <v>273</v>
      </c>
      <c r="D48" s="243" t="s">
        <v>255</v>
      </c>
      <c r="E48" s="243" t="s">
        <v>288</v>
      </c>
      <c r="F48" s="243" t="s">
        <v>274</v>
      </c>
      <c r="G48" s="243">
        <v>-5656.5</v>
      </c>
      <c r="H48" s="243" t="s">
        <v>272</v>
      </c>
      <c r="I48" s="243" t="s">
        <v>196</v>
      </c>
      <c r="J48" s="245">
        <v>46138</v>
      </c>
      <c r="K48" t="e">
        <f>VLOOKUP(D48,Sales!$G$3:$G$45,1,FALSE)</f>
        <v>#N/A</v>
      </c>
      <c r="M48" t="e">
        <f>VLOOKUP(D48,Charges!$D$8:$D$25,1,FALSE)</f>
        <v>#N/A</v>
      </c>
      <c r="O48" t="str">
        <f>VLOOKUP(D48,Retirement!$F$12:$F$79,1,FALSE)</f>
        <v>469BC89260470004</v>
      </c>
      <c r="Q48" t="s">
        <v>286</v>
      </c>
    </row>
    <row r="49" spans="1:17">
      <c r="A49" s="246" t="s">
        <v>281</v>
      </c>
      <c r="B49" s="247">
        <v>2262884.0299999998</v>
      </c>
      <c r="C49" s="247" t="s">
        <v>282</v>
      </c>
      <c r="D49" s="247" t="s">
        <v>104</v>
      </c>
      <c r="E49" s="247" t="s">
        <v>288</v>
      </c>
      <c r="F49" s="247" t="s">
        <v>274</v>
      </c>
      <c r="G49" s="247">
        <v>2262884.0299999998</v>
      </c>
      <c r="H49" s="247" t="s">
        <v>281</v>
      </c>
      <c r="I49" s="247" t="s">
        <v>196</v>
      </c>
      <c r="J49" s="249">
        <v>46138</v>
      </c>
      <c r="K49" t="str">
        <f>VLOOKUP(D49,Sales!$G$3:$G$45,1,FALSE)</f>
        <v>469BC89261030001</v>
      </c>
      <c r="L49">
        <f>VLOOKUP(D49,Sales!$G$3:$X92,18,FALSE)</f>
        <v>16894.2</v>
      </c>
      <c r="M49" t="e">
        <f>VLOOKUP(D49,Charges!$D$8:$D$25,1,FALSE)</f>
        <v>#N/A</v>
      </c>
      <c r="O49" t="e">
        <f>VLOOKUP(D49,Retirement!$F$12:$F$79,1,FALSE)</f>
        <v>#N/A</v>
      </c>
      <c r="Q49" t="s">
        <v>104</v>
      </c>
    </row>
    <row r="50" spans="1:17">
      <c r="A50" s="242" t="s">
        <v>280</v>
      </c>
      <c r="B50" s="243">
        <v>7204547</v>
      </c>
      <c r="C50" s="243" t="s">
        <v>273</v>
      </c>
      <c r="D50" s="243" t="s">
        <v>219</v>
      </c>
      <c r="E50" s="243" t="s">
        <v>288</v>
      </c>
      <c r="F50" s="243" t="s">
        <v>274</v>
      </c>
      <c r="G50" s="243">
        <v>-7204547</v>
      </c>
      <c r="H50" s="243" t="s">
        <v>280</v>
      </c>
      <c r="I50" s="243" t="s">
        <v>196</v>
      </c>
      <c r="J50" s="245">
        <v>46138</v>
      </c>
      <c r="K50" t="e">
        <f>VLOOKUP(D50,Sales!$G$3:$G$45,1,FALSE)</f>
        <v>#N/A</v>
      </c>
      <c r="M50" t="e">
        <f>VLOOKUP(D50,Charges!$D$8:$D$25,1,FALSE)</f>
        <v>#N/A</v>
      </c>
      <c r="O50" t="str">
        <f>VLOOKUP(D50,Retirement!$F$12:$F$79,1,FALSE)</f>
        <v>469BC04260200003</v>
      </c>
      <c r="Q50" t="s">
        <v>219</v>
      </c>
    </row>
    <row r="51" spans="1:17">
      <c r="A51" s="246" t="s">
        <v>289</v>
      </c>
      <c r="B51" s="247">
        <v>10245.700000000001</v>
      </c>
      <c r="C51" s="247" t="s">
        <v>273</v>
      </c>
      <c r="D51" s="247" t="s">
        <v>245</v>
      </c>
      <c r="E51" s="247" t="s">
        <v>288</v>
      </c>
      <c r="F51" s="247" t="s">
        <v>274</v>
      </c>
      <c r="G51" s="247">
        <v>-10245.700000000001</v>
      </c>
      <c r="H51" s="247" t="s">
        <v>289</v>
      </c>
      <c r="I51" s="247" t="s">
        <v>278</v>
      </c>
      <c r="J51" s="249">
        <v>46138</v>
      </c>
      <c r="K51" t="e">
        <f>VLOOKUP(D51,Sales!$G$3:$G$45,1,FALSE)</f>
        <v>#N/A</v>
      </c>
      <c r="M51" t="e">
        <f>VLOOKUP(D51,Charges!$D$8:$D$25,1,FALSE)</f>
        <v>#N/A</v>
      </c>
      <c r="O51" t="str">
        <f>VLOOKUP(D51,Retirement!$F$12:$F$79,1,FALSE)</f>
        <v>469BC89253540002</v>
      </c>
      <c r="Q51" t="s">
        <v>286</v>
      </c>
    </row>
    <row r="52" spans="1:17">
      <c r="A52" s="242" t="s">
        <v>287</v>
      </c>
      <c r="B52" s="243">
        <v>5310</v>
      </c>
      <c r="C52" s="243" t="s">
        <v>273</v>
      </c>
      <c r="D52" s="243" t="s">
        <v>107</v>
      </c>
      <c r="E52" s="243" t="s">
        <v>288</v>
      </c>
      <c r="F52" s="243" t="s">
        <v>274</v>
      </c>
      <c r="G52" s="243">
        <v>-5310</v>
      </c>
      <c r="H52" s="243" t="s">
        <v>287</v>
      </c>
      <c r="I52" s="243" t="s">
        <v>278</v>
      </c>
      <c r="J52" s="245">
        <v>46138</v>
      </c>
      <c r="K52" t="str">
        <f>VLOOKUP(D52,Sales!$G$3:$G$45,1,FALSE)</f>
        <v>469BC89261030003</v>
      </c>
      <c r="L52">
        <f>VLOOKUP(D52,Sales!$G$3:$X95,18,FALSE)</f>
        <v>16727.489999999998</v>
      </c>
      <c r="M52" t="e">
        <f>VLOOKUP(D52,Charges!$D$8:$D$25,1,FALSE)</f>
        <v>#N/A</v>
      </c>
      <c r="O52" t="e">
        <f>VLOOKUP(D52,Retirement!$F$12:$F$79,1,FALSE)</f>
        <v>#N/A</v>
      </c>
      <c r="Q52" t="s">
        <v>107</v>
      </c>
    </row>
    <row r="53" spans="1:17">
      <c r="A53" s="246" t="s">
        <v>287</v>
      </c>
      <c r="B53" s="247">
        <v>5310</v>
      </c>
      <c r="C53" s="247" t="s">
        <v>273</v>
      </c>
      <c r="D53" s="247" t="s">
        <v>104</v>
      </c>
      <c r="E53" s="247" t="s">
        <v>288</v>
      </c>
      <c r="F53" s="247" t="s">
        <v>274</v>
      </c>
      <c r="G53" s="247">
        <v>-5310</v>
      </c>
      <c r="H53" s="247" t="s">
        <v>287</v>
      </c>
      <c r="I53" s="247" t="s">
        <v>278</v>
      </c>
      <c r="J53" s="249">
        <v>46138</v>
      </c>
      <c r="K53" t="str">
        <f>VLOOKUP(D53,Sales!$G$3:$G$45,1,FALSE)</f>
        <v>469BC89261030001</v>
      </c>
      <c r="L53">
        <f>VLOOKUP(D53,Sales!$G$3:$X96,18,FALSE)</f>
        <v>16894.2</v>
      </c>
      <c r="M53" t="e">
        <f>VLOOKUP(D53,Charges!$D$8:$D$25,1,FALSE)</f>
        <v>#N/A</v>
      </c>
      <c r="O53" t="e">
        <f>VLOOKUP(D53,Retirement!$F$12:$F$79,1,FALSE)</f>
        <v>#N/A</v>
      </c>
      <c r="Q53" t="s">
        <v>104</v>
      </c>
    </row>
    <row r="54" spans="1:17">
      <c r="A54" s="242" t="s">
        <v>276</v>
      </c>
      <c r="B54" s="243">
        <v>1770</v>
      </c>
      <c r="C54" s="243" t="s">
        <v>273</v>
      </c>
      <c r="D54" s="243" t="s">
        <v>205</v>
      </c>
      <c r="E54" s="243" t="s">
        <v>288</v>
      </c>
      <c r="F54" s="243" t="s">
        <v>277</v>
      </c>
      <c r="G54" s="243">
        <v>-1770</v>
      </c>
      <c r="H54" s="243" t="s">
        <v>276</v>
      </c>
      <c r="I54" s="243" t="s">
        <v>278</v>
      </c>
      <c r="J54" s="245">
        <v>46138</v>
      </c>
      <c r="K54" t="e">
        <f>VLOOKUP(D54,Sales!$G$3:$G$45,1,FALSE)</f>
        <v>#N/A</v>
      </c>
      <c r="M54" t="str">
        <f>VLOOKUP(D54,Charges!$D$8:$D$25,1,FALSE)</f>
        <v>014LCEX261010002</v>
      </c>
      <c r="O54" t="e">
        <f>VLOOKUP(D54,Retirement!$F$12:$F$79,1,FALSE)</f>
        <v>#N/A</v>
      </c>
      <c r="Q54" t="s">
        <v>205</v>
      </c>
    </row>
    <row r="55" spans="1:17">
      <c r="A55" s="246" t="s">
        <v>280</v>
      </c>
      <c r="B55" s="247">
        <v>1978624</v>
      </c>
      <c r="C55" s="247" t="s">
        <v>273</v>
      </c>
      <c r="D55" s="247" t="s">
        <v>217</v>
      </c>
      <c r="E55" s="247" t="s">
        <v>288</v>
      </c>
      <c r="F55" s="247" t="s">
        <v>274</v>
      </c>
      <c r="G55" s="247">
        <v>-1978624</v>
      </c>
      <c r="H55" s="247" t="s">
        <v>280</v>
      </c>
      <c r="I55" s="247" t="s">
        <v>196</v>
      </c>
      <c r="J55" s="249">
        <v>46138</v>
      </c>
      <c r="K55" t="e">
        <f>VLOOKUP(D55,Sales!$G$3:$G$45,1,FALSE)</f>
        <v>#N/A</v>
      </c>
      <c r="M55" t="e">
        <f>VLOOKUP(D55,Charges!$D$8:$D$25,1,FALSE)</f>
        <v>#N/A</v>
      </c>
      <c r="O55" t="str">
        <f>VLOOKUP(D55,Retirement!$F$12:$F$79,1,FALSE)</f>
        <v>469BC04260170003</v>
      </c>
      <c r="Q55" t="s">
        <v>217</v>
      </c>
    </row>
    <row r="56" spans="1:17">
      <c r="A56" s="242" t="s">
        <v>280</v>
      </c>
      <c r="B56" s="243">
        <v>5015964</v>
      </c>
      <c r="C56" s="243" t="s">
        <v>273</v>
      </c>
      <c r="D56" s="243" t="s">
        <v>220</v>
      </c>
      <c r="E56" s="243" t="s">
        <v>288</v>
      </c>
      <c r="F56" s="243" t="s">
        <v>274</v>
      </c>
      <c r="G56" s="243">
        <v>-5015964</v>
      </c>
      <c r="H56" s="243" t="s">
        <v>280</v>
      </c>
      <c r="I56" s="243" t="s">
        <v>196</v>
      </c>
      <c r="J56" s="245">
        <v>46138</v>
      </c>
      <c r="K56" t="e">
        <f>VLOOKUP(D56,Sales!$G$3:$G$45,1,FALSE)</f>
        <v>#N/A</v>
      </c>
      <c r="M56" t="e">
        <f>VLOOKUP(D56,Charges!$D$8:$D$25,1,FALSE)</f>
        <v>#N/A</v>
      </c>
      <c r="O56" t="str">
        <f>VLOOKUP(D56,Retirement!$F$12:$F$79,1,FALSE)</f>
        <v>469BC04260200005</v>
      </c>
      <c r="Q56" t="s">
        <v>220</v>
      </c>
    </row>
    <row r="57" spans="1:17">
      <c r="A57" s="246" t="s">
        <v>289</v>
      </c>
      <c r="B57" s="247">
        <v>3590.12</v>
      </c>
      <c r="C57" s="247" t="s">
        <v>273</v>
      </c>
      <c r="D57" s="247" t="s">
        <v>246</v>
      </c>
      <c r="E57" s="247" t="s">
        <v>288</v>
      </c>
      <c r="F57" s="247" t="s">
        <v>274</v>
      </c>
      <c r="G57" s="247">
        <v>-3590.12</v>
      </c>
      <c r="H57" s="247" t="s">
        <v>289</v>
      </c>
      <c r="I57" s="247" t="s">
        <v>278</v>
      </c>
      <c r="J57" s="249">
        <v>46138</v>
      </c>
      <c r="K57" t="e">
        <f>VLOOKUP(D57,Sales!$G$3:$G$45,1,FALSE)</f>
        <v>#N/A</v>
      </c>
      <c r="M57" t="e">
        <f>VLOOKUP(D57,Charges!$D$8:$D$25,1,FALSE)</f>
        <v>#N/A</v>
      </c>
      <c r="O57" t="str">
        <f>VLOOKUP(D57,Retirement!$F$12:$F$79,1,FALSE)</f>
        <v>469BC89253560001</v>
      </c>
      <c r="Q57" t="s">
        <v>246</v>
      </c>
    </row>
    <row r="58" spans="1:17">
      <c r="A58" s="242" t="s">
        <v>272</v>
      </c>
      <c r="B58" s="243">
        <v>18666.45</v>
      </c>
      <c r="C58" s="243" t="s">
        <v>273</v>
      </c>
      <c r="D58" s="243" t="s">
        <v>248</v>
      </c>
      <c r="E58" s="243" t="s">
        <v>290</v>
      </c>
      <c r="F58" s="243" t="s">
        <v>274</v>
      </c>
      <c r="G58" s="243">
        <v>-18666.45</v>
      </c>
      <c r="H58" s="243" t="s">
        <v>272</v>
      </c>
      <c r="I58" s="243" t="s">
        <v>196</v>
      </c>
      <c r="J58" s="245">
        <v>46138</v>
      </c>
      <c r="K58" t="e">
        <f>VLOOKUP(D58,Sales!$G$3:$G$45,1,FALSE)</f>
        <v>#N/A</v>
      </c>
      <c r="M58" t="e">
        <f>VLOOKUP(D58,Charges!$D$8:$D$25,1,FALSE)</f>
        <v>#N/A</v>
      </c>
      <c r="O58" t="str">
        <f>VLOOKUP(D58,Retirement!$F$12:$F$79,1,FALSE)</f>
        <v>469BC89260190002</v>
      </c>
      <c r="Q58" t="s">
        <v>248</v>
      </c>
    </row>
    <row r="59" spans="1:17">
      <c r="A59" s="246" t="s">
        <v>272</v>
      </c>
      <c r="B59" s="247">
        <v>15838.2</v>
      </c>
      <c r="C59" s="247" t="s">
        <v>273</v>
      </c>
      <c r="D59" s="247" t="s">
        <v>246</v>
      </c>
      <c r="E59" s="247" t="s">
        <v>290</v>
      </c>
      <c r="F59" s="247" t="s">
        <v>274</v>
      </c>
      <c r="G59" s="247">
        <v>-15838.2</v>
      </c>
      <c r="H59" s="247" t="s">
        <v>272</v>
      </c>
      <c r="I59" s="247" t="s">
        <v>196</v>
      </c>
      <c r="J59" s="249">
        <v>46138</v>
      </c>
      <c r="K59" t="e">
        <f>VLOOKUP(D59,Sales!$G$3:$G$45,1,FALSE)</f>
        <v>#N/A</v>
      </c>
      <c r="M59" t="e">
        <f>VLOOKUP(D59,Charges!$D$8:$D$25,1,FALSE)</f>
        <v>#N/A</v>
      </c>
      <c r="O59" t="str">
        <f>VLOOKUP(D59,Retirement!$F$12:$F$79,1,FALSE)</f>
        <v>469BC89253560001</v>
      </c>
      <c r="Q59" t="s">
        <v>246</v>
      </c>
    </row>
    <row r="60" spans="1:17">
      <c r="A60" s="242" t="s">
        <v>272</v>
      </c>
      <c r="B60" s="243">
        <v>3959.55</v>
      </c>
      <c r="C60" s="243" t="s">
        <v>273</v>
      </c>
      <c r="D60" s="243" t="s">
        <v>249</v>
      </c>
      <c r="E60" s="243" t="s">
        <v>291</v>
      </c>
      <c r="F60" s="243" t="s">
        <v>274</v>
      </c>
      <c r="G60" s="243">
        <v>-3959.55</v>
      </c>
      <c r="H60" s="243" t="s">
        <v>272</v>
      </c>
      <c r="I60" s="243" t="s">
        <v>196</v>
      </c>
      <c r="J60" s="245">
        <v>46138</v>
      </c>
      <c r="K60" t="e">
        <f>VLOOKUP(D60,Sales!$G$3:$G$45,1,FALSE)</f>
        <v>#N/A</v>
      </c>
      <c r="M60" t="e">
        <f>VLOOKUP(D60,Charges!$D$8:$D$25,1,FALSE)</f>
        <v>#N/A</v>
      </c>
      <c r="O60" t="str">
        <f>VLOOKUP(D60,Retirement!$F$12:$F$79,1,FALSE)</f>
        <v>469BC89260220005</v>
      </c>
      <c r="Q60" t="s">
        <v>249</v>
      </c>
    </row>
    <row r="61" spans="1:17">
      <c r="A61" s="246" t="s">
        <v>280</v>
      </c>
      <c r="B61" s="247">
        <v>5014639</v>
      </c>
      <c r="C61" s="247" t="s">
        <v>273</v>
      </c>
      <c r="D61" s="247" t="s">
        <v>221</v>
      </c>
      <c r="E61" s="247" t="s">
        <v>292</v>
      </c>
      <c r="F61" s="247" t="s">
        <v>274</v>
      </c>
      <c r="G61" s="247">
        <v>-5014639</v>
      </c>
      <c r="H61" s="247" t="s">
        <v>280</v>
      </c>
      <c r="I61" s="247" t="s">
        <v>196</v>
      </c>
      <c r="J61" s="249">
        <v>46138</v>
      </c>
      <c r="K61" t="e">
        <f>VLOOKUP(D61,Sales!$G$3:$G$45,1,FALSE)</f>
        <v>#N/A</v>
      </c>
      <c r="M61" t="e">
        <f>VLOOKUP(D61,Charges!$D$8:$D$25,1,FALSE)</f>
        <v>#N/A</v>
      </c>
      <c r="O61" t="str">
        <f>VLOOKUP(D61,Retirement!$F$12:$F$79,1,FALSE)</f>
        <v>469BC04260210002</v>
      </c>
      <c r="Q61" t="s">
        <v>221</v>
      </c>
    </row>
    <row r="62" spans="1:17">
      <c r="A62" s="242" t="s">
        <v>275</v>
      </c>
      <c r="B62" s="243">
        <v>45</v>
      </c>
      <c r="C62" s="243" t="s">
        <v>273</v>
      </c>
      <c r="D62" s="243" t="s">
        <v>255</v>
      </c>
      <c r="E62" s="243" t="s">
        <v>292</v>
      </c>
      <c r="F62" s="243" t="s">
        <v>274</v>
      </c>
      <c r="G62" s="243">
        <v>-45</v>
      </c>
      <c r="H62" s="243" t="s">
        <v>275</v>
      </c>
      <c r="I62" s="243" t="s">
        <v>76</v>
      </c>
      <c r="J62" s="245">
        <v>46138</v>
      </c>
      <c r="K62" t="e">
        <f>VLOOKUP(D62,Sales!$G$3:$G$45,1,FALSE)</f>
        <v>#N/A</v>
      </c>
      <c r="M62" t="e">
        <f>VLOOKUP(D62,Charges!$D$8:$D$25,1,FALSE)</f>
        <v>#N/A</v>
      </c>
      <c r="O62" t="str">
        <f>VLOOKUP(D62,Retirement!$F$12:$F$79,1,FALSE)</f>
        <v>469BC89260470004</v>
      </c>
      <c r="Q62" t="s">
        <v>286</v>
      </c>
    </row>
    <row r="63" spans="1:17">
      <c r="A63" s="246" t="s">
        <v>281</v>
      </c>
      <c r="B63" s="247">
        <v>44452779.950000003</v>
      </c>
      <c r="C63" s="247" t="s">
        <v>282</v>
      </c>
      <c r="D63" s="247" t="s">
        <v>130</v>
      </c>
      <c r="E63" s="247" t="s">
        <v>292</v>
      </c>
      <c r="F63" s="247" t="s">
        <v>274</v>
      </c>
      <c r="G63" s="247">
        <v>44452779.950000003</v>
      </c>
      <c r="H63" s="247" t="s">
        <v>281</v>
      </c>
      <c r="I63" s="247" t="s">
        <v>196</v>
      </c>
      <c r="J63" s="249">
        <v>46138</v>
      </c>
      <c r="K63" t="str">
        <f>VLOOKUP(D63,Sales!$G$3:$G$45,1,FALSE)</f>
        <v>469BC89261060003</v>
      </c>
      <c r="M63" t="e">
        <f>VLOOKUP(D63,Charges!$D$8:$D$25,1,FALSE)</f>
        <v>#N/A</v>
      </c>
      <c r="O63" t="e">
        <f>VLOOKUP(D63,Retirement!$F$12:$F$79,1,FALSE)</f>
        <v>#N/A</v>
      </c>
      <c r="Q63" t="s">
        <v>130</v>
      </c>
    </row>
    <row r="64" spans="1:17">
      <c r="A64" s="242" t="s">
        <v>275</v>
      </c>
      <c r="B64" s="243">
        <v>45</v>
      </c>
      <c r="C64" s="243" t="s">
        <v>273</v>
      </c>
      <c r="D64" s="243" t="s">
        <v>249</v>
      </c>
      <c r="E64" s="243" t="s">
        <v>292</v>
      </c>
      <c r="F64" s="243" t="s">
        <v>274</v>
      </c>
      <c r="G64" s="243">
        <v>-45</v>
      </c>
      <c r="H64" s="243" t="s">
        <v>275</v>
      </c>
      <c r="I64" s="243" t="s">
        <v>76</v>
      </c>
      <c r="J64" s="245">
        <v>46138</v>
      </c>
      <c r="K64" t="e">
        <f>VLOOKUP(D64,Sales!$G$3:$G$45,1,FALSE)</f>
        <v>#N/A</v>
      </c>
      <c r="M64" t="e">
        <f>VLOOKUP(D64,Charges!$D$8:$D$25,1,FALSE)</f>
        <v>#N/A</v>
      </c>
      <c r="O64" t="str">
        <f>VLOOKUP(D64,Retirement!$F$12:$F$79,1,FALSE)</f>
        <v>469BC89260220005</v>
      </c>
      <c r="Q64" t="s">
        <v>249</v>
      </c>
    </row>
    <row r="65" spans="1:17">
      <c r="A65" s="246" t="s">
        <v>285</v>
      </c>
      <c r="B65" s="247">
        <v>12141.61</v>
      </c>
      <c r="C65" s="247" t="s">
        <v>282</v>
      </c>
      <c r="D65" s="247" t="s">
        <v>258</v>
      </c>
      <c r="E65" s="247" t="s">
        <v>292</v>
      </c>
      <c r="F65" s="247" t="s">
        <v>274</v>
      </c>
      <c r="G65" s="247">
        <v>12141.61</v>
      </c>
      <c r="H65" s="247" t="s">
        <v>285</v>
      </c>
      <c r="I65" s="247" t="s">
        <v>196</v>
      </c>
      <c r="J65" s="249">
        <v>46138</v>
      </c>
      <c r="K65" t="e">
        <f>VLOOKUP(D65,Sales!$G$3:$G$45,1,FALSE)</f>
        <v>#N/A</v>
      </c>
      <c r="M65" t="e">
        <f>VLOOKUP(D65,Charges!$D$8:$D$25,1,FALSE)</f>
        <v>#N/A</v>
      </c>
      <c r="O65" t="str">
        <f>VLOOKUP(D65,Retirement!$F$12:$F$79,1,FALSE)</f>
        <v>469BC89260560004</v>
      </c>
      <c r="Q65" t="s">
        <v>286</v>
      </c>
    </row>
    <row r="66" spans="1:17">
      <c r="A66" s="242" t="s">
        <v>272</v>
      </c>
      <c r="B66" s="243">
        <v>11233</v>
      </c>
      <c r="C66" s="243" t="s">
        <v>273</v>
      </c>
      <c r="D66" s="243" t="s">
        <v>257</v>
      </c>
      <c r="E66" s="243" t="s">
        <v>292</v>
      </c>
      <c r="F66" s="243" t="s">
        <v>274</v>
      </c>
      <c r="G66" s="243">
        <v>-11233</v>
      </c>
      <c r="H66" s="243" t="s">
        <v>272</v>
      </c>
      <c r="I66" s="243" t="s">
        <v>196</v>
      </c>
      <c r="J66" s="245">
        <v>46138</v>
      </c>
      <c r="K66" t="e">
        <f>VLOOKUP(D66,Sales!$G$3:$G$45,1,FALSE)</f>
        <v>#N/A</v>
      </c>
      <c r="M66" t="e">
        <f>VLOOKUP(D66,Charges!$D$8:$D$25,1,FALSE)</f>
        <v>#N/A</v>
      </c>
      <c r="O66" t="str">
        <f>VLOOKUP(D66,Retirement!$F$12:$F$79,1,FALSE)</f>
        <v>469BC89260510001</v>
      </c>
      <c r="Q66" t="s">
        <v>286</v>
      </c>
    </row>
    <row r="67" spans="1:17">
      <c r="A67" s="246" t="s">
        <v>275</v>
      </c>
      <c r="B67" s="247">
        <v>45</v>
      </c>
      <c r="C67" s="247" t="s">
        <v>273</v>
      </c>
      <c r="D67" s="247" t="s">
        <v>246</v>
      </c>
      <c r="E67" s="247" t="s">
        <v>292</v>
      </c>
      <c r="F67" s="247" t="s">
        <v>274</v>
      </c>
      <c r="G67" s="247">
        <v>-45</v>
      </c>
      <c r="H67" s="247" t="s">
        <v>275</v>
      </c>
      <c r="I67" s="247" t="s">
        <v>76</v>
      </c>
      <c r="J67" s="249">
        <v>46138</v>
      </c>
      <c r="K67" t="e">
        <f>VLOOKUP(D67,Sales!$G$3:$G$45,1,FALSE)</f>
        <v>#N/A</v>
      </c>
      <c r="M67" t="e">
        <f>VLOOKUP(D67,Charges!$D$8:$D$25,1,FALSE)</f>
        <v>#N/A</v>
      </c>
      <c r="O67" t="str">
        <f>VLOOKUP(D67,Retirement!$F$12:$F$79,1,FALSE)</f>
        <v>469BC89253560001</v>
      </c>
      <c r="Q67" t="s">
        <v>246</v>
      </c>
    </row>
    <row r="68" spans="1:17">
      <c r="A68" s="242" t="s">
        <v>275</v>
      </c>
      <c r="B68" s="243">
        <v>45</v>
      </c>
      <c r="C68" s="243" t="s">
        <v>273</v>
      </c>
      <c r="D68" s="243" t="s">
        <v>254</v>
      </c>
      <c r="E68" s="243" t="s">
        <v>292</v>
      </c>
      <c r="F68" s="243" t="s">
        <v>274</v>
      </c>
      <c r="G68" s="243">
        <v>-45</v>
      </c>
      <c r="H68" s="243" t="s">
        <v>275</v>
      </c>
      <c r="I68" s="243" t="s">
        <v>76</v>
      </c>
      <c r="J68" s="245">
        <v>46138</v>
      </c>
      <c r="K68" t="e">
        <f>VLOOKUP(D68,Sales!$G$3:$G$45,1,FALSE)</f>
        <v>#N/A</v>
      </c>
      <c r="M68" t="e">
        <f>VLOOKUP(D68,Charges!$D$8:$D$25,1,FALSE)</f>
        <v>#N/A</v>
      </c>
      <c r="O68" t="str">
        <f>VLOOKUP(D68,Retirement!$F$12:$F$79,1,FALSE)</f>
        <v>469BC89260470003</v>
      </c>
      <c r="Q68" t="s">
        <v>254</v>
      </c>
    </row>
    <row r="69" spans="1:17">
      <c r="A69" s="246" t="s">
        <v>275</v>
      </c>
      <c r="B69" s="247">
        <v>45</v>
      </c>
      <c r="C69" s="247" t="s">
        <v>273</v>
      </c>
      <c r="D69" s="247" t="s">
        <v>248</v>
      </c>
      <c r="E69" s="247" t="s">
        <v>292</v>
      </c>
      <c r="F69" s="247" t="s">
        <v>274</v>
      </c>
      <c r="G69" s="247">
        <v>-45</v>
      </c>
      <c r="H69" s="247" t="s">
        <v>275</v>
      </c>
      <c r="I69" s="247" t="s">
        <v>76</v>
      </c>
      <c r="J69" s="249">
        <v>46138</v>
      </c>
      <c r="K69" t="e">
        <f>VLOOKUP(D69,Sales!$G$3:$G$45,1,FALSE)</f>
        <v>#N/A</v>
      </c>
      <c r="M69" t="e">
        <f>VLOOKUP(D69,Charges!$D$8:$D$25,1,FALSE)</f>
        <v>#N/A</v>
      </c>
      <c r="O69" t="str">
        <f>VLOOKUP(D69,Retirement!$F$12:$F$79,1,FALSE)</f>
        <v>469BC89260190002</v>
      </c>
      <c r="Q69" t="s">
        <v>248</v>
      </c>
    </row>
    <row r="70" spans="1:17">
      <c r="A70" s="242" t="s">
        <v>287</v>
      </c>
      <c r="B70" s="243">
        <v>5310</v>
      </c>
      <c r="C70" s="243" t="s">
        <v>273</v>
      </c>
      <c r="D70" s="243" t="s">
        <v>130</v>
      </c>
      <c r="E70" s="243" t="s">
        <v>292</v>
      </c>
      <c r="F70" s="243" t="s">
        <v>274</v>
      </c>
      <c r="G70" s="243">
        <v>-5310</v>
      </c>
      <c r="H70" s="243" t="s">
        <v>287</v>
      </c>
      <c r="I70" s="243" t="s">
        <v>278</v>
      </c>
      <c r="J70" s="245">
        <v>46138</v>
      </c>
      <c r="K70" t="str">
        <f>VLOOKUP(D70,Sales!$G$3:$G$45,1,FALSE)</f>
        <v>469BC89261060003</v>
      </c>
      <c r="M70" t="e">
        <f>VLOOKUP(D70,Charges!$D$8:$D$25,1,FALSE)</f>
        <v>#N/A</v>
      </c>
      <c r="O70" t="e">
        <f>VLOOKUP(D70,Retirement!$F$12:$F$79,1,FALSE)</f>
        <v>#N/A</v>
      </c>
      <c r="Q70" t="s">
        <v>130</v>
      </c>
    </row>
    <row r="71" spans="1:17">
      <c r="A71" s="246" t="s">
        <v>281</v>
      </c>
      <c r="B71" s="247">
        <v>9041390.1799999997</v>
      </c>
      <c r="C71" s="247" t="s">
        <v>282</v>
      </c>
      <c r="D71" s="247" t="s">
        <v>118</v>
      </c>
      <c r="E71" s="247" t="s">
        <v>292</v>
      </c>
      <c r="F71" s="247" t="s">
        <v>274</v>
      </c>
      <c r="G71" s="247">
        <v>9041390.1799999997</v>
      </c>
      <c r="H71" s="247" t="s">
        <v>281</v>
      </c>
      <c r="I71" s="247" t="s">
        <v>196</v>
      </c>
      <c r="J71" s="249">
        <v>46138</v>
      </c>
      <c r="K71" t="str">
        <f>VLOOKUP(D71,Sales!$G$3:$G$45,1,FALSE)</f>
        <v>469BC89261030010</v>
      </c>
      <c r="M71" t="e">
        <f>VLOOKUP(D71,Charges!$D$8:$D$25,1,FALSE)</f>
        <v>#N/A</v>
      </c>
      <c r="O71" t="e">
        <f>VLOOKUP(D71,Retirement!$F$12:$F$79,1,FALSE)</f>
        <v>#N/A</v>
      </c>
      <c r="Q71" t="s">
        <v>118</v>
      </c>
    </row>
    <row r="72" spans="1:17">
      <c r="A72" s="242" t="s">
        <v>287</v>
      </c>
      <c r="B72" s="243">
        <v>5310</v>
      </c>
      <c r="C72" s="243" t="s">
        <v>273</v>
      </c>
      <c r="D72" s="243" t="s">
        <v>126</v>
      </c>
      <c r="E72" s="243" t="s">
        <v>292</v>
      </c>
      <c r="F72" s="243" t="s">
        <v>274</v>
      </c>
      <c r="G72" s="243">
        <v>-5310</v>
      </c>
      <c r="H72" s="243" t="s">
        <v>287</v>
      </c>
      <c r="I72" s="243" t="s">
        <v>278</v>
      </c>
      <c r="J72" s="245">
        <v>46138</v>
      </c>
      <c r="K72" t="str">
        <f>VLOOKUP(D72,Sales!$G$3:$G$45,1,FALSE)</f>
        <v>469BC89261060002</v>
      </c>
      <c r="M72" t="e">
        <f>VLOOKUP(D72,Charges!$D$8:$D$25,1,FALSE)</f>
        <v>#N/A</v>
      </c>
      <c r="O72" t="e">
        <f>VLOOKUP(D72,Retirement!$F$12:$F$79,1,FALSE)</f>
        <v>#N/A</v>
      </c>
      <c r="Q72" t="s">
        <v>126</v>
      </c>
    </row>
    <row r="73" spans="1:17">
      <c r="A73" s="246" t="s">
        <v>287</v>
      </c>
      <c r="B73" s="247">
        <v>5310</v>
      </c>
      <c r="C73" s="247" t="s">
        <v>273</v>
      </c>
      <c r="D73" s="247" t="s">
        <v>122</v>
      </c>
      <c r="E73" s="247" t="s">
        <v>292</v>
      </c>
      <c r="F73" s="247" t="s">
        <v>274</v>
      </c>
      <c r="G73" s="247">
        <v>-5310</v>
      </c>
      <c r="H73" s="247" t="s">
        <v>287</v>
      </c>
      <c r="I73" s="247" t="s">
        <v>278</v>
      </c>
      <c r="J73" s="249">
        <v>46138</v>
      </c>
      <c r="K73" t="str">
        <f>VLOOKUP(D73,Sales!$G$3:$G$45,1,FALSE)</f>
        <v>469BC89261060001</v>
      </c>
      <c r="M73" t="e">
        <f>VLOOKUP(D73,Charges!$D$8:$D$25,1,FALSE)</f>
        <v>#N/A</v>
      </c>
      <c r="O73" t="e">
        <f>VLOOKUP(D73,Retirement!$F$12:$F$79,1,FALSE)</f>
        <v>#N/A</v>
      </c>
      <c r="Q73" t="s">
        <v>122</v>
      </c>
    </row>
    <row r="74" spans="1:17">
      <c r="A74" s="242" t="s">
        <v>280</v>
      </c>
      <c r="B74" s="243">
        <v>7344466</v>
      </c>
      <c r="C74" s="243" t="s">
        <v>273</v>
      </c>
      <c r="D74" s="243" t="s">
        <v>222</v>
      </c>
      <c r="E74" s="243" t="s">
        <v>292</v>
      </c>
      <c r="F74" s="243" t="s">
        <v>274</v>
      </c>
      <c r="G74" s="243">
        <v>-7344466</v>
      </c>
      <c r="H74" s="243" t="s">
        <v>280</v>
      </c>
      <c r="I74" s="243" t="s">
        <v>196</v>
      </c>
      <c r="J74" s="245">
        <v>46138</v>
      </c>
      <c r="K74" t="e">
        <f>VLOOKUP(D74,Sales!$G$3:$G$45,1,FALSE)</f>
        <v>#N/A</v>
      </c>
      <c r="M74" t="e">
        <f>VLOOKUP(D74,Charges!$D$8:$D$25,1,FALSE)</f>
        <v>#N/A</v>
      </c>
      <c r="O74" t="str">
        <f>VLOOKUP(D74,Retirement!$F$12:$F$79,1,FALSE)</f>
        <v>469BC04260210003</v>
      </c>
      <c r="Q74" t="s">
        <v>222</v>
      </c>
    </row>
    <row r="75" spans="1:17">
      <c r="A75" s="246" t="s">
        <v>281</v>
      </c>
      <c r="B75" s="247">
        <v>23158321.010000002</v>
      </c>
      <c r="C75" s="247" t="s">
        <v>282</v>
      </c>
      <c r="D75" s="247" t="s">
        <v>122</v>
      </c>
      <c r="E75" s="247" t="s">
        <v>292</v>
      </c>
      <c r="F75" s="247" t="s">
        <v>274</v>
      </c>
      <c r="G75" s="247">
        <v>23158321.010000002</v>
      </c>
      <c r="H75" s="247" t="s">
        <v>281</v>
      </c>
      <c r="I75" s="247" t="s">
        <v>196</v>
      </c>
      <c r="J75" s="249">
        <v>46138</v>
      </c>
      <c r="K75" t="str">
        <f>VLOOKUP(D75,Sales!$G$3:$G$45,1,FALSE)</f>
        <v>469BC89261060001</v>
      </c>
      <c r="M75" t="e">
        <f>VLOOKUP(D75,Charges!$D$8:$D$25,1,FALSE)</f>
        <v>#N/A</v>
      </c>
      <c r="O75" t="e">
        <f>VLOOKUP(D75,Retirement!$F$12:$F$79,1,FALSE)</f>
        <v>#N/A</v>
      </c>
      <c r="Q75" t="s">
        <v>122</v>
      </c>
    </row>
    <row r="76" spans="1:17">
      <c r="A76" s="242" t="s">
        <v>281</v>
      </c>
      <c r="B76" s="243">
        <v>8554366.8699999992</v>
      </c>
      <c r="C76" s="243" t="s">
        <v>282</v>
      </c>
      <c r="D76" s="243" t="s">
        <v>126</v>
      </c>
      <c r="E76" s="243" t="s">
        <v>292</v>
      </c>
      <c r="F76" s="243" t="s">
        <v>274</v>
      </c>
      <c r="G76" s="243">
        <v>8554366.8699999992</v>
      </c>
      <c r="H76" s="243" t="s">
        <v>281</v>
      </c>
      <c r="I76" s="243" t="s">
        <v>196</v>
      </c>
      <c r="J76" s="245">
        <v>46138</v>
      </c>
      <c r="K76" t="str">
        <f>VLOOKUP(D76,Sales!$G$3:$G$45,1,FALSE)</f>
        <v>469BC89261060002</v>
      </c>
      <c r="M76" t="e">
        <f>VLOOKUP(D76,Charges!$D$8:$D$25,1,FALSE)</f>
        <v>#N/A</v>
      </c>
      <c r="O76" t="e">
        <f>VLOOKUP(D76,Retirement!$F$12:$F$79,1,FALSE)</f>
        <v>#N/A</v>
      </c>
      <c r="Q76" t="s">
        <v>126</v>
      </c>
    </row>
    <row r="77" spans="1:17">
      <c r="A77" s="246" t="s">
        <v>281</v>
      </c>
      <c r="B77" s="247">
        <v>24550550.170000002</v>
      </c>
      <c r="C77" s="247" t="s">
        <v>282</v>
      </c>
      <c r="D77" s="247" t="s">
        <v>112</v>
      </c>
      <c r="E77" s="247" t="s">
        <v>292</v>
      </c>
      <c r="F77" s="247" t="s">
        <v>274</v>
      </c>
      <c r="G77" s="247">
        <v>24550550.170000002</v>
      </c>
      <c r="H77" s="247" t="s">
        <v>281</v>
      </c>
      <c r="I77" s="247" t="s">
        <v>196</v>
      </c>
      <c r="J77" s="249">
        <v>46138</v>
      </c>
      <c r="K77" t="str">
        <f>VLOOKUP(D77,Sales!$G$3:$G$45,1,FALSE)</f>
        <v>469BC89261030011</v>
      </c>
      <c r="M77" t="e">
        <f>VLOOKUP(D77,Charges!$D$8:$D$25,1,FALSE)</f>
        <v>#N/A</v>
      </c>
      <c r="O77" t="e">
        <f>VLOOKUP(D77,Retirement!$F$12:$F$79,1,FALSE)</f>
        <v>#N/A</v>
      </c>
      <c r="Q77" t="s">
        <v>112</v>
      </c>
    </row>
    <row r="78" spans="1:17">
      <c r="A78" s="242" t="s">
        <v>281</v>
      </c>
      <c r="B78" s="243">
        <v>12281910.49</v>
      </c>
      <c r="C78" s="243" t="s">
        <v>282</v>
      </c>
      <c r="D78" s="243" t="s">
        <v>115</v>
      </c>
      <c r="E78" s="243" t="s">
        <v>292</v>
      </c>
      <c r="F78" s="243" t="s">
        <v>274</v>
      </c>
      <c r="G78" s="243">
        <v>12281910.49</v>
      </c>
      <c r="H78" s="243" t="s">
        <v>281</v>
      </c>
      <c r="I78" s="243" t="s">
        <v>196</v>
      </c>
      <c r="J78" s="245">
        <v>46138</v>
      </c>
      <c r="K78" t="str">
        <f>VLOOKUP(D78,Sales!$G$3:$G$45,1,FALSE)</f>
        <v>469BC89261030007</v>
      </c>
      <c r="M78" t="e">
        <f>VLOOKUP(D78,Charges!$D$8:$D$25,1,FALSE)</f>
        <v>#N/A</v>
      </c>
      <c r="O78" t="e">
        <f>VLOOKUP(D78,Retirement!$F$12:$F$79,1,FALSE)</f>
        <v>#N/A</v>
      </c>
      <c r="Q78" t="s">
        <v>115</v>
      </c>
    </row>
    <row r="79" spans="1:17">
      <c r="A79" s="246" t="s">
        <v>275</v>
      </c>
      <c r="B79" s="247">
        <v>45</v>
      </c>
      <c r="C79" s="247" t="s">
        <v>273</v>
      </c>
      <c r="D79" s="247" t="s">
        <v>257</v>
      </c>
      <c r="E79" s="247" t="s">
        <v>293</v>
      </c>
      <c r="F79" s="247" t="s">
        <v>274</v>
      </c>
      <c r="G79" s="247">
        <v>-45</v>
      </c>
      <c r="H79" s="247" t="s">
        <v>275</v>
      </c>
      <c r="I79" s="247" t="s">
        <v>76</v>
      </c>
      <c r="J79" s="249">
        <v>46138</v>
      </c>
      <c r="K79" t="e">
        <f>VLOOKUP(D79,Sales!$G$3:$G$45,1,FALSE)</f>
        <v>#N/A</v>
      </c>
      <c r="M79" t="e">
        <f>VLOOKUP(D79,Charges!$D$8:$D$25,1,FALSE)</f>
        <v>#N/A</v>
      </c>
      <c r="O79" t="str">
        <f>VLOOKUP(D79,Retirement!$F$12:$F$79,1,FALSE)</f>
        <v>469BC89260510001</v>
      </c>
      <c r="Q79" t="s">
        <v>286</v>
      </c>
    </row>
    <row r="80" spans="1:17">
      <c r="A80" s="242" t="s">
        <v>281</v>
      </c>
      <c r="B80" s="243">
        <v>4775105.49</v>
      </c>
      <c r="C80" s="243" t="s">
        <v>282</v>
      </c>
      <c r="D80" s="243" t="s">
        <v>186</v>
      </c>
      <c r="E80" s="243" t="s">
        <v>293</v>
      </c>
      <c r="F80" s="243" t="s">
        <v>274</v>
      </c>
      <c r="G80" s="243">
        <v>4775105.49</v>
      </c>
      <c r="H80" s="243" t="s">
        <v>281</v>
      </c>
      <c r="I80" s="243" t="s">
        <v>196</v>
      </c>
      <c r="J80" s="245">
        <v>46138</v>
      </c>
      <c r="K80" t="str">
        <f>VLOOKUP(D80,Sales!$G$3:$G$45,1,FALSE)</f>
        <v>469BC89261070002</v>
      </c>
      <c r="M80" t="e">
        <f>VLOOKUP(D80,Charges!$D$8:$D$25,1,FALSE)</f>
        <v>#N/A</v>
      </c>
      <c r="O80" t="e">
        <f>VLOOKUP(D80,Retirement!$F$12:$F$79,1,FALSE)</f>
        <v>#N/A</v>
      </c>
      <c r="Q80" t="s">
        <v>286</v>
      </c>
    </row>
    <row r="81" spans="1:17">
      <c r="A81" s="246" t="s">
        <v>272</v>
      </c>
      <c r="B81" s="247">
        <v>101756.49</v>
      </c>
      <c r="C81" s="247" t="s">
        <v>273</v>
      </c>
      <c r="D81" s="247" t="s">
        <v>250</v>
      </c>
      <c r="E81" s="247" t="s">
        <v>293</v>
      </c>
      <c r="F81" s="247" t="s">
        <v>274</v>
      </c>
      <c r="G81" s="247">
        <v>-101756.49</v>
      </c>
      <c r="H81" s="247" t="s">
        <v>272</v>
      </c>
      <c r="I81" s="247" t="s">
        <v>196</v>
      </c>
      <c r="J81" s="249">
        <v>46138</v>
      </c>
      <c r="K81" t="e">
        <f>VLOOKUP(D81,Sales!$G$3:$G$45,1,FALSE)</f>
        <v>#N/A</v>
      </c>
      <c r="M81" t="e">
        <f>VLOOKUP(D81,Charges!$D$8:$D$25,1,FALSE)</f>
        <v>#N/A</v>
      </c>
      <c r="O81" t="str">
        <f>VLOOKUP(D81,Retirement!$F$12:$F$79,1,FALSE)</f>
        <v>469BC89260280004</v>
      </c>
      <c r="Q81" t="s">
        <v>250</v>
      </c>
    </row>
    <row r="82" spans="1:17">
      <c r="A82" s="242" t="s">
        <v>281</v>
      </c>
      <c r="B82" s="243">
        <v>13422712.609999999</v>
      </c>
      <c r="C82" s="243" t="s">
        <v>282</v>
      </c>
      <c r="D82" s="243" t="s">
        <v>185</v>
      </c>
      <c r="E82" s="243" t="s">
        <v>293</v>
      </c>
      <c r="F82" s="243" t="s">
        <v>274</v>
      </c>
      <c r="G82" s="243">
        <v>13422712.609999999</v>
      </c>
      <c r="H82" s="243" t="s">
        <v>281</v>
      </c>
      <c r="I82" s="243" t="s">
        <v>196</v>
      </c>
      <c r="J82" s="245">
        <v>46138</v>
      </c>
      <c r="K82" t="str">
        <f>VLOOKUP(D82,Sales!$G$3:$G$45,1,FALSE)</f>
        <v>469BC89261070001</v>
      </c>
      <c r="M82" t="e">
        <f>VLOOKUP(D82,Charges!$D$8:$D$25,1,FALSE)</f>
        <v>#N/A</v>
      </c>
      <c r="O82" t="str">
        <f>VLOOKUP(D82,Retirement!$F$12:$F$79,1,FALSE)</f>
        <v>469BC89261070001</v>
      </c>
      <c r="Q82" t="s">
        <v>286</v>
      </c>
    </row>
    <row r="83" spans="1:17">
      <c r="A83" s="246" t="s">
        <v>287</v>
      </c>
      <c r="B83" s="247">
        <v>5310</v>
      </c>
      <c r="C83" s="247" t="s">
        <v>273</v>
      </c>
      <c r="D83" s="247" t="s">
        <v>185</v>
      </c>
      <c r="E83" s="247" t="s">
        <v>293</v>
      </c>
      <c r="F83" s="247" t="s">
        <v>274</v>
      </c>
      <c r="G83" s="247">
        <v>-5310</v>
      </c>
      <c r="H83" s="247" t="s">
        <v>287</v>
      </c>
      <c r="I83" s="247" t="s">
        <v>278</v>
      </c>
      <c r="J83" s="249">
        <v>46138</v>
      </c>
      <c r="K83" t="str">
        <f>VLOOKUP(D83,Sales!$G$3:$G$45,1,FALSE)</f>
        <v>469BC89261070001</v>
      </c>
      <c r="M83" t="e">
        <f>VLOOKUP(D83,Charges!$D$8:$D$25,1,FALSE)</f>
        <v>#N/A</v>
      </c>
      <c r="O83" t="str">
        <f>VLOOKUP(D83,Retirement!$F$12:$F$79,1,FALSE)</f>
        <v>469BC89261070001</v>
      </c>
      <c r="Q83" t="s">
        <v>286</v>
      </c>
    </row>
    <row r="84" spans="1:17">
      <c r="A84" s="242" t="s">
        <v>294</v>
      </c>
      <c r="B84" s="243">
        <v>13264.38</v>
      </c>
      <c r="C84" s="243" t="s">
        <v>273</v>
      </c>
      <c r="D84" s="243" t="s">
        <v>262</v>
      </c>
      <c r="E84" s="243" t="s">
        <v>293</v>
      </c>
      <c r="F84" s="243" t="s">
        <v>274</v>
      </c>
      <c r="G84" s="243">
        <v>-13264.38</v>
      </c>
      <c r="H84" s="243" t="s">
        <v>294</v>
      </c>
      <c r="I84" s="243" t="s">
        <v>278</v>
      </c>
      <c r="J84" s="245">
        <v>46138</v>
      </c>
      <c r="K84" t="e">
        <f>VLOOKUP(D84,Sales!$G$3:$G$45,1,FALSE)</f>
        <v>#N/A</v>
      </c>
      <c r="M84" t="str">
        <f>VLOOKUP(D84,Charges!$D$8:$D$25,1,FALSE)</f>
        <v>469LC03261070002</v>
      </c>
      <c r="O84" t="e">
        <f>VLOOKUP(D84,Retirement!$F$12:$F$79,1,FALSE)</f>
        <v>#N/A</v>
      </c>
      <c r="Q84" t="s">
        <v>286</v>
      </c>
    </row>
    <row r="85" spans="1:17">
      <c r="A85" s="246" t="s">
        <v>280</v>
      </c>
      <c r="B85" s="247">
        <v>5156929</v>
      </c>
      <c r="C85" s="247" t="s">
        <v>273</v>
      </c>
      <c r="D85" s="247" t="s">
        <v>223</v>
      </c>
      <c r="E85" s="247" t="s">
        <v>293</v>
      </c>
      <c r="F85" s="247" t="s">
        <v>274</v>
      </c>
      <c r="G85" s="247">
        <v>-5156929</v>
      </c>
      <c r="H85" s="247" t="s">
        <v>280</v>
      </c>
      <c r="I85" s="247" t="s">
        <v>196</v>
      </c>
      <c r="J85" s="249">
        <v>46138</v>
      </c>
      <c r="K85" t="e">
        <f>VLOOKUP(D85,Sales!$G$3:$G$45,1,FALSE)</f>
        <v>#N/A</v>
      </c>
      <c r="M85" t="e">
        <f>VLOOKUP(D85,Charges!$D$8:$D$25,1,FALSE)</f>
        <v>#N/A</v>
      </c>
      <c r="O85" t="str">
        <f>VLOOKUP(D85,Retirement!$F$12:$F$79,1,FALSE)</f>
        <v>469BC04260210004</v>
      </c>
      <c r="Q85" t="s">
        <v>286</v>
      </c>
    </row>
    <row r="86" spans="1:17">
      <c r="A86" s="242" t="s">
        <v>287</v>
      </c>
      <c r="B86" s="243">
        <v>5310</v>
      </c>
      <c r="C86" s="243" t="s">
        <v>273</v>
      </c>
      <c r="D86" s="243" t="s">
        <v>186</v>
      </c>
      <c r="E86" s="243" t="s">
        <v>293</v>
      </c>
      <c r="F86" s="243" t="s">
        <v>274</v>
      </c>
      <c r="G86" s="243">
        <v>-5310</v>
      </c>
      <c r="H86" s="243" t="s">
        <v>287</v>
      </c>
      <c r="I86" s="243" t="s">
        <v>278</v>
      </c>
      <c r="J86" s="245">
        <v>46138</v>
      </c>
      <c r="K86" t="str">
        <f>VLOOKUP(D86,Sales!$G$3:$G$45,1,FALSE)</f>
        <v>469BC89261070002</v>
      </c>
      <c r="M86" t="e">
        <f>VLOOKUP(D86,Charges!$D$8:$D$25,1,FALSE)</f>
        <v>#N/A</v>
      </c>
      <c r="O86" t="e">
        <f>VLOOKUP(D86,Retirement!$F$12:$F$79,1,FALSE)</f>
        <v>#N/A</v>
      </c>
      <c r="Q86" t="s">
        <v>286</v>
      </c>
    </row>
    <row r="87" spans="1:17">
      <c r="A87" s="246" t="s">
        <v>280</v>
      </c>
      <c r="B87" s="247">
        <v>2444683</v>
      </c>
      <c r="C87" s="247" t="s">
        <v>273</v>
      </c>
      <c r="D87" s="247" t="s">
        <v>225</v>
      </c>
      <c r="E87" s="247" t="s">
        <v>295</v>
      </c>
      <c r="F87" s="247" t="s">
        <v>274</v>
      </c>
      <c r="G87" s="247">
        <v>-2444683</v>
      </c>
      <c r="H87" s="247" t="s">
        <v>280</v>
      </c>
      <c r="I87" s="247" t="s">
        <v>196</v>
      </c>
      <c r="J87" s="249">
        <v>46138</v>
      </c>
      <c r="K87" t="e">
        <f>VLOOKUP(D87,Sales!$G$3:$G$45,1,FALSE)</f>
        <v>#N/A</v>
      </c>
      <c r="M87" t="e">
        <f>VLOOKUP(D87,Charges!$D$8:$D$25,1,FALSE)</f>
        <v>#N/A</v>
      </c>
      <c r="O87" t="str">
        <f>VLOOKUP(D87,Retirement!$F$12:$F$79,1,FALSE)</f>
        <v>469BC04260270003</v>
      </c>
      <c r="Q87" t="s">
        <v>286</v>
      </c>
    </row>
    <row r="88" spans="1:17">
      <c r="A88" s="242" t="s">
        <v>280</v>
      </c>
      <c r="B88" s="243">
        <v>4897308</v>
      </c>
      <c r="C88" s="243" t="s">
        <v>273</v>
      </c>
      <c r="D88" s="243" t="s">
        <v>224</v>
      </c>
      <c r="E88" s="243" t="s">
        <v>295</v>
      </c>
      <c r="F88" s="243" t="s">
        <v>274</v>
      </c>
      <c r="G88" s="243">
        <v>-4897308</v>
      </c>
      <c r="H88" s="243" t="s">
        <v>280</v>
      </c>
      <c r="I88" s="243" t="s">
        <v>196</v>
      </c>
      <c r="J88" s="245">
        <v>46138</v>
      </c>
      <c r="K88" t="e">
        <f>VLOOKUP(D88,Sales!$G$3:$G$45,1,FALSE)</f>
        <v>#N/A</v>
      </c>
      <c r="M88" t="e">
        <f>VLOOKUP(D88,Charges!$D$8:$D$25,1,FALSE)</f>
        <v>#N/A</v>
      </c>
      <c r="O88" t="str">
        <f>VLOOKUP(D88,Retirement!$F$12:$F$79,1,FALSE)</f>
        <v>469BC04260270002</v>
      </c>
      <c r="Q88" t="s">
        <v>286</v>
      </c>
    </row>
    <row r="89" spans="1:17">
      <c r="A89" s="246" t="s">
        <v>289</v>
      </c>
      <c r="B89" s="247">
        <v>220.26</v>
      </c>
      <c r="C89" s="247" t="s">
        <v>273</v>
      </c>
      <c r="D89" s="247" t="s">
        <v>107</v>
      </c>
      <c r="E89" s="247" t="s">
        <v>295</v>
      </c>
      <c r="F89" s="247" t="s">
        <v>274</v>
      </c>
      <c r="G89" s="247">
        <v>-220.26</v>
      </c>
      <c r="H89" s="247" t="s">
        <v>289</v>
      </c>
      <c r="I89" s="247" t="s">
        <v>278</v>
      </c>
      <c r="J89" s="249">
        <v>46138</v>
      </c>
      <c r="K89" t="str">
        <f>VLOOKUP(D89,Sales!$G$3:$G$45,1,FALSE)</f>
        <v>469BC89261030003</v>
      </c>
      <c r="M89" t="e">
        <f>VLOOKUP(D89,Charges!$D$8:$D$25,1,FALSE)</f>
        <v>#N/A</v>
      </c>
      <c r="O89" t="e">
        <f>VLOOKUP(D89,Retirement!$F$12:$F$79,1,FALSE)</f>
        <v>#N/A</v>
      </c>
      <c r="Q89" t="s">
        <v>107</v>
      </c>
    </row>
    <row r="90" spans="1:17">
      <c r="A90" s="242" t="s">
        <v>289</v>
      </c>
      <c r="B90" s="243">
        <v>704.6</v>
      </c>
      <c r="C90" s="243" t="s">
        <v>273</v>
      </c>
      <c r="D90" s="243" t="s">
        <v>104</v>
      </c>
      <c r="E90" s="243" t="s">
        <v>295</v>
      </c>
      <c r="F90" s="243" t="s">
        <v>274</v>
      </c>
      <c r="G90" s="243">
        <v>-704.6</v>
      </c>
      <c r="H90" s="243" t="s">
        <v>289</v>
      </c>
      <c r="I90" s="243" t="s">
        <v>278</v>
      </c>
      <c r="J90" s="245">
        <v>46138</v>
      </c>
      <c r="K90" t="str">
        <f>VLOOKUP(D90,Sales!$G$3:$G$45,1,FALSE)</f>
        <v>469BC89261030001</v>
      </c>
      <c r="M90" t="e">
        <f>VLOOKUP(D90,Charges!$D$8:$D$25,1,FALSE)</f>
        <v>#N/A</v>
      </c>
      <c r="O90" t="e">
        <f>VLOOKUP(D90,Retirement!$F$12:$F$79,1,FALSE)</f>
        <v>#N/A</v>
      </c>
      <c r="Q90" t="s">
        <v>104</v>
      </c>
    </row>
    <row r="91" spans="1:17">
      <c r="A91" s="246" t="s">
        <v>280</v>
      </c>
      <c r="B91" s="247">
        <v>4976514</v>
      </c>
      <c r="C91" s="247" t="s">
        <v>273</v>
      </c>
      <c r="D91" s="247" t="s">
        <v>228</v>
      </c>
      <c r="E91" s="247" t="s">
        <v>296</v>
      </c>
      <c r="F91" s="247" t="s">
        <v>274</v>
      </c>
      <c r="G91" s="247">
        <v>-4976514</v>
      </c>
      <c r="H91" s="247" t="s">
        <v>280</v>
      </c>
      <c r="I91" s="247" t="s">
        <v>196</v>
      </c>
      <c r="J91" s="249">
        <v>46138</v>
      </c>
      <c r="K91" t="e">
        <f>VLOOKUP(D91,Sales!$G$3:$G$45,1,FALSE)</f>
        <v>#N/A</v>
      </c>
      <c r="M91" t="e">
        <f>VLOOKUP(D91,Charges!$D$8:$D$25,1,FALSE)</f>
        <v>#N/A</v>
      </c>
      <c r="O91" t="str">
        <f>VLOOKUP(D91,Retirement!$F$12:$F$79,1,FALSE)</f>
        <v>469BC04260280004</v>
      </c>
      <c r="Q91" t="s">
        <v>286</v>
      </c>
    </row>
    <row r="92" spans="1:17">
      <c r="A92" s="242" t="s">
        <v>287</v>
      </c>
      <c r="B92" s="243">
        <v>5310</v>
      </c>
      <c r="C92" s="243" t="s">
        <v>273</v>
      </c>
      <c r="D92" s="243" t="s">
        <v>134</v>
      </c>
      <c r="E92" s="243" t="s">
        <v>296</v>
      </c>
      <c r="F92" s="243" t="s">
        <v>274</v>
      </c>
      <c r="G92" s="243">
        <v>-5310</v>
      </c>
      <c r="H92" s="243" t="s">
        <v>287</v>
      </c>
      <c r="I92" s="243" t="s">
        <v>278</v>
      </c>
      <c r="J92" s="245">
        <v>46138</v>
      </c>
      <c r="K92" t="str">
        <f>VLOOKUP(D92,Sales!$G$3:$G$45,1,FALSE)</f>
        <v>469BC89261100007</v>
      </c>
      <c r="M92" t="e">
        <f>VLOOKUP(D92,Charges!$D$8:$D$25,1,FALSE)</f>
        <v>#N/A</v>
      </c>
      <c r="O92" t="e">
        <f>VLOOKUP(D92,Retirement!$F$12:$F$79,1,FALSE)</f>
        <v>#N/A</v>
      </c>
      <c r="Q92" t="s">
        <v>134</v>
      </c>
    </row>
    <row r="93" spans="1:17">
      <c r="A93" s="246" t="s">
        <v>275</v>
      </c>
      <c r="B93" s="247">
        <v>181.58</v>
      </c>
      <c r="C93" s="247" t="s">
        <v>273</v>
      </c>
      <c r="D93" s="247" t="s">
        <v>250</v>
      </c>
      <c r="E93" s="247" t="s">
        <v>296</v>
      </c>
      <c r="F93" s="247" t="s">
        <v>274</v>
      </c>
      <c r="G93" s="247">
        <v>-181.58</v>
      </c>
      <c r="H93" s="247" t="s">
        <v>275</v>
      </c>
      <c r="I93" s="247" t="s">
        <v>76</v>
      </c>
      <c r="J93" s="249">
        <v>46138</v>
      </c>
      <c r="K93" t="e">
        <f>VLOOKUP(D93,Sales!$G$3:$G$45,1,FALSE)</f>
        <v>#N/A</v>
      </c>
      <c r="M93" t="e">
        <f>VLOOKUP(D93,Charges!$D$8:$D$25,1,FALSE)</f>
        <v>#N/A</v>
      </c>
      <c r="O93" t="str">
        <f>VLOOKUP(D93,Retirement!$F$12:$F$79,1,FALSE)</f>
        <v>469BC89260280004</v>
      </c>
      <c r="Q93" t="s">
        <v>250</v>
      </c>
    </row>
    <row r="94" spans="1:17">
      <c r="A94" s="242" t="s">
        <v>287</v>
      </c>
      <c r="B94" s="243">
        <v>5310</v>
      </c>
      <c r="C94" s="243" t="s">
        <v>273</v>
      </c>
      <c r="D94" s="243" t="s">
        <v>188</v>
      </c>
      <c r="E94" s="243" t="s">
        <v>296</v>
      </c>
      <c r="F94" s="243" t="s">
        <v>274</v>
      </c>
      <c r="G94" s="243">
        <v>-5310</v>
      </c>
      <c r="H94" s="243" t="s">
        <v>287</v>
      </c>
      <c r="I94" s="243" t="s">
        <v>278</v>
      </c>
      <c r="J94" s="245">
        <v>46138</v>
      </c>
      <c r="K94" t="str">
        <f>VLOOKUP(D94,Sales!$G$3:$G$45,1,FALSE)</f>
        <v>469BC89261100006</v>
      </c>
      <c r="M94" t="e">
        <f>VLOOKUP(D94,Charges!$D$8:$D$25,1,FALSE)</f>
        <v>#N/A</v>
      </c>
      <c r="O94" t="e">
        <f>VLOOKUP(D94,Retirement!$F$12:$F$79,1,FALSE)</f>
        <v>#N/A</v>
      </c>
      <c r="Q94" t="s">
        <v>286</v>
      </c>
    </row>
    <row r="95" spans="1:17">
      <c r="A95" s="246" t="s">
        <v>287</v>
      </c>
      <c r="B95" s="247">
        <v>5310</v>
      </c>
      <c r="C95" s="247" t="s">
        <v>273</v>
      </c>
      <c r="D95" s="247" t="s">
        <v>187</v>
      </c>
      <c r="E95" s="247" t="s">
        <v>296</v>
      </c>
      <c r="F95" s="247" t="s">
        <v>274</v>
      </c>
      <c r="G95" s="247">
        <v>-5310</v>
      </c>
      <c r="H95" s="247" t="s">
        <v>287</v>
      </c>
      <c r="I95" s="247" t="s">
        <v>278</v>
      </c>
      <c r="J95" s="249">
        <v>46138</v>
      </c>
      <c r="K95" t="str">
        <f>VLOOKUP(D95,Sales!$G$3:$G$45,1,FALSE)</f>
        <v>469BC89261100003</v>
      </c>
      <c r="M95" t="e">
        <f>VLOOKUP(D95,Charges!$D$8:$D$25,1,FALSE)</f>
        <v>#N/A</v>
      </c>
      <c r="O95" t="e">
        <f>VLOOKUP(D95,Retirement!$F$12:$F$79,1,FALSE)</f>
        <v>#N/A</v>
      </c>
      <c r="Q95" t="s">
        <v>286</v>
      </c>
    </row>
    <row r="96" spans="1:17">
      <c r="A96" s="242" t="s">
        <v>287</v>
      </c>
      <c r="B96" s="243">
        <v>5310</v>
      </c>
      <c r="C96" s="243" t="s">
        <v>273</v>
      </c>
      <c r="D96" s="243" t="s">
        <v>143</v>
      </c>
      <c r="E96" s="243" t="s">
        <v>296</v>
      </c>
      <c r="F96" s="243" t="s">
        <v>274</v>
      </c>
      <c r="G96" s="243">
        <v>-5310</v>
      </c>
      <c r="H96" s="243" t="s">
        <v>287</v>
      </c>
      <c r="I96" s="243" t="s">
        <v>278</v>
      </c>
      <c r="J96" s="245">
        <v>46138</v>
      </c>
      <c r="K96" t="str">
        <f>VLOOKUP(D96,Sales!$G$3:$G$45,1,FALSE)</f>
        <v>469BC89261100002</v>
      </c>
      <c r="M96" t="e">
        <f>VLOOKUP(D96,Charges!$D$8:$D$25,1,FALSE)</f>
        <v>#N/A</v>
      </c>
      <c r="O96" t="e">
        <f>VLOOKUP(D96,Retirement!$F$12:$F$79,1,FALSE)</f>
        <v>#N/A</v>
      </c>
      <c r="Q96" t="s">
        <v>143</v>
      </c>
    </row>
    <row r="97" spans="1:17">
      <c r="A97" s="246" t="s">
        <v>287</v>
      </c>
      <c r="B97" s="247">
        <v>5310</v>
      </c>
      <c r="C97" s="247" t="s">
        <v>273</v>
      </c>
      <c r="D97" s="247" t="s">
        <v>138</v>
      </c>
      <c r="E97" s="247" t="s">
        <v>296</v>
      </c>
      <c r="F97" s="247" t="s">
        <v>274</v>
      </c>
      <c r="G97" s="247">
        <v>-5310</v>
      </c>
      <c r="H97" s="247" t="s">
        <v>287</v>
      </c>
      <c r="I97" s="247" t="s">
        <v>278</v>
      </c>
      <c r="J97" s="249">
        <v>46138</v>
      </c>
      <c r="K97" t="str">
        <f>VLOOKUP(D97,Sales!$G$3:$G$45,1,FALSE)</f>
        <v>469BC89261100005</v>
      </c>
      <c r="M97" t="e">
        <f>VLOOKUP(D97,Charges!$D$8:$D$25,1,FALSE)</f>
        <v>#N/A</v>
      </c>
      <c r="O97" t="e">
        <f>VLOOKUP(D97,Retirement!$F$12:$F$79,1,FALSE)</f>
        <v>#N/A</v>
      </c>
      <c r="Q97" t="s">
        <v>138</v>
      </c>
    </row>
    <row r="98" spans="1:17">
      <c r="A98" s="242" t="s">
        <v>287</v>
      </c>
      <c r="B98" s="243">
        <v>5310</v>
      </c>
      <c r="C98" s="243" t="s">
        <v>273</v>
      </c>
      <c r="D98" s="243" t="s">
        <v>141</v>
      </c>
      <c r="E98" s="243" t="s">
        <v>296</v>
      </c>
      <c r="F98" s="243" t="s">
        <v>274</v>
      </c>
      <c r="G98" s="243">
        <v>-5310</v>
      </c>
      <c r="H98" s="243" t="s">
        <v>287</v>
      </c>
      <c r="I98" s="243" t="s">
        <v>278</v>
      </c>
      <c r="J98" s="245">
        <v>46138</v>
      </c>
      <c r="K98" t="str">
        <f>VLOOKUP(D98,Sales!$G$3:$G$45,1,FALSE)</f>
        <v>469BC89261100004</v>
      </c>
      <c r="M98" t="e">
        <f>VLOOKUP(D98,Charges!$D$8:$D$25,1,FALSE)</f>
        <v>#N/A</v>
      </c>
      <c r="O98" t="e">
        <f>VLOOKUP(D98,Retirement!$F$12:$F$79,1,FALSE)</f>
        <v>#N/A</v>
      </c>
      <c r="Q98" t="s">
        <v>141</v>
      </c>
    </row>
    <row r="99" spans="1:17">
      <c r="A99" s="246" t="s">
        <v>280</v>
      </c>
      <c r="B99" s="247">
        <v>2508904</v>
      </c>
      <c r="C99" s="247" t="s">
        <v>273</v>
      </c>
      <c r="D99" s="247" t="s">
        <v>227</v>
      </c>
      <c r="E99" s="247" t="s">
        <v>297</v>
      </c>
      <c r="F99" s="247" t="s">
        <v>274</v>
      </c>
      <c r="G99" s="247">
        <v>-2508904</v>
      </c>
      <c r="H99" s="247" t="s">
        <v>280</v>
      </c>
      <c r="I99" s="247" t="s">
        <v>196</v>
      </c>
      <c r="J99" s="249">
        <v>46138</v>
      </c>
      <c r="K99" t="e">
        <f>VLOOKUP(D99,Sales!$G$3:$G$45,1,FALSE)</f>
        <v>#N/A</v>
      </c>
      <c r="M99" t="e">
        <f>VLOOKUP(D99,Charges!$D$8:$D$25,1,FALSE)</f>
        <v>#N/A</v>
      </c>
      <c r="O99" t="str">
        <f>VLOOKUP(D99,Retirement!$F$12:$F$79,1,FALSE)</f>
        <v>469BC04260280003</v>
      </c>
      <c r="Q99" t="s">
        <v>227</v>
      </c>
    </row>
    <row r="100" spans="1:17">
      <c r="A100" s="242" t="s">
        <v>280</v>
      </c>
      <c r="B100" s="243">
        <v>10336202</v>
      </c>
      <c r="C100" s="243" t="s">
        <v>273</v>
      </c>
      <c r="D100" s="243" t="s">
        <v>226</v>
      </c>
      <c r="E100" s="243" t="s">
        <v>297</v>
      </c>
      <c r="F100" s="243" t="s">
        <v>274</v>
      </c>
      <c r="G100" s="243">
        <v>-10336202</v>
      </c>
      <c r="H100" s="243" t="s">
        <v>280</v>
      </c>
      <c r="I100" s="243" t="s">
        <v>196</v>
      </c>
      <c r="J100" s="245">
        <v>46138</v>
      </c>
      <c r="K100" t="e">
        <f>VLOOKUP(D100,Sales!$G$3:$G$45,1,FALSE)</f>
        <v>#N/A</v>
      </c>
      <c r="M100" t="e">
        <f>VLOOKUP(D100,Charges!$D$8:$D$25,1,FALSE)</f>
        <v>#N/A</v>
      </c>
      <c r="O100" t="str">
        <f>VLOOKUP(D100,Retirement!$F$12:$F$79,1,FALSE)</f>
        <v>469BC04260280002</v>
      </c>
      <c r="Q100" t="s">
        <v>226</v>
      </c>
    </row>
    <row r="101" spans="1:17">
      <c r="A101" s="246" t="s">
        <v>272</v>
      </c>
      <c r="B101" s="247">
        <v>4518</v>
      </c>
      <c r="C101" s="247" t="s">
        <v>273</v>
      </c>
      <c r="D101" s="247" t="s">
        <v>251</v>
      </c>
      <c r="E101" s="247" t="s">
        <v>297</v>
      </c>
      <c r="F101" s="247" t="s">
        <v>274</v>
      </c>
      <c r="G101" s="247">
        <v>-4518</v>
      </c>
      <c r="H101" s="247" t="s">
        <v>272</v>
      </c>
      <c r="I101" s="247" t="s">
        <v>196</v>
      </c>
      <c r="J101" s="249">
        <v>46138</v>
      </c>
      <c r="K101" t="e">
        <f>VLOOKUP(D101,Sales!$G$3:$G$45,1,FALSE)</f>
        <v>#N/A</v>
      </c>
      <c r="M101" t="e">
        <f>VLOOKUP(D101,Charges!$D$8:$D$25,1,FALSE)</f>
        <v>#N/A</v>
      </c>
      <c r="O101" t="str">
        <f>VLOOKUP(D101,Retirement!$F$12:$F$79,1,FALSE)</f>
        <v>469BC89260290005</v>
      </c>
      <c r="Q101" t="s">
        <v>251</v>
      </c>
    </row>
    <row r="102" spans="1:17">
      <c r="A102" s="242" t="s">
        <v>287</v>
      </c>
      <c r="B102" s="243">
        <v>5310</v>
      </c>
      <c r="C102" s="243" t="s">
        <v>273</v>
      </c>
      <c r="D102" s="243" t="s">
        <v>148</v>
      </c>
      <c r="E102" s="243" t="s">
        <v>297</v>
      </c>
      <c r="F102" s="243" t="s">
        <v>274</v>
      </c>
      <c r="G102" s="243">
        <v>-5310</v>
      </c>
      <c r="H102" s="243" t="s">
        <v>287</v>
      </c>
      <c r="I102" s="243" t="s">
        <v>278</v>
      </c>
      <c r="J102" s="245">
        <v>46138</v>
      </c>
      <c r="K102" t="str">
        <f>VLOOKUP(D102,Sales!$G$3:$G$45,1,FALSE)</f>
        <v>469BC89261110008</v>
      </c>
      <c r="M102" t="e">
        <f>VLOOKUP(D102,Charges!$D$8:$D$25,1,FALSE)</f>
        <v>#N/A</v>
      </c>
      <c r="O102" t="e">
        <f>VLOOKUP(D102,Retirement!$F$12:$F$79,1,FALSE)</f>
        <v>#N/A</v>
      </c>
      <c r="Q102" t="s">
        <v>148</v>
      </c>
    </row>
    <row r="103" spans="1:17">
      <c r="A103" s="246" t="s">
        <v>287</v>
      </c>
      <c r="B103" s="247">
        <v>5310</v>
      </c>
      <c r="C103" s="247" t="s">
        <v>273</v>
      </c>
      <c r="D103" s="247" t="s">
        <v>146</v>
      </c>
      <c r="E103" s="247" t="s">
        <v>297</v>
      </c>
      <c r="F103" s="247" t="s">
        <v>274</v>
      </c>
      <c r="G103" s="247">
        <v>-5310</v>
      </c>
      <c r="H103" s="247" t="s">
        <v>287</v>
      </c>
      <c r="I103" s="247" t="s">
        <v>278</v>
      </c>
      <c r="J103" s="249">
        <v>46138</v>
      </c>
      <c r="K103" t="str">
        <f>VLOOKUP(D103,Sales!$G$3:$G$45,1,FALSE)</f>
        <v>469BC89261110006</v>
      </c>
      <c r="M103" t="e">
        <f>VLOOKUP(D103,Charges!$D$8:$D$25,1,FALSE)</f>
        <v>#N/A</v>
      </c>
      <c r="O103" t="e">
        <f>VLOOKUP(D103,Retirement!$F$12:$F$79,1,FALSE)</f>
        <v>#N/A</v>
      </c>
      <c r="Q103" t="s">
        <v>146</v>
      </c>
    </row>
    <row r="104" spans="1:17">
      <c r="A104" s="242" t="s">
        <v>287</v>
      </c>
      <c r="B104" s="243">
        <v>5310</v>
      </c>
      <c r="C104" s="243" t="s">
        <v>273</v>
      </c>
      <c r="D104" s="243" t="s">
        <v>152</v>
      </c>
      <c r="E104" s="243" t="s">
        <v>297</v>
      </c>
      <c r="F104" s="243" t="s">
        <v>274</v>
      </c>
      <c r="G104" s="243">
        <v>-5310</v>
      </c>
      <c r="H104" s="243" t="s">
        <v>287</v>
      </c>
      <c r="I104" s="243" t="s">
        <v>278</v>
      </c>
      <c r="J104" s="245">
        <v>46138</v>
      </c>
      <c r="K104" t="str">
        <f>VLOOKUP(D104,Sales!$G$3:$G$45,1,FALSE)</f>
        <v>469BC89261110009</v>
      </c>
      <c r="M104" t="e">
        <f>VLOOKUP(D104,Charges!$D$8:$D$25,1,FALSE)</f>
        <v>#N/A</v>
      </c>
      <c r="O104" t="e">
        <f>VLOOKUP(D104,Retirement!$F$12:$F$79,1,FALSE)</f>
        <v>#N/A</v>
      </c>
      <c r="Q104" t="s">
        <v>152</v>
      </c>
    </row>
    <row r="105" spans="1:17">
      <c r="A105" s="246" t="s">
        <v>275</v>
      </c>
      <c r="B105" s="247">
        <v>45</v>
      </c>
      <c r="C105" s="247" t="s">
        <v>273</v>
      </c>
      <c r="D105" s="247" t="s">
        <v>251</v>
      </c>
      <c r="E105" s="247" t="s">
        <v>298</v>
      </c>
      <c r="F105" s="247" t="s">
        <v>274</v>
      </c>
      <c r="G105" s="247">
        <v>-45</v>
      </c>
      <c r="H105" s="247" t="s">
        <v>275</v>
      </c>
      <c r="I105" s="247" t="s">
        <v>76</v>
      </c>
      <c r="J105" s="249">
        <v>46138</v>
      </c>
      <c r="K105" t="e">
        <f>VLOOKUP(D105,Sales!$G$3:$G$45,1,FALSE)</f>
        <v>#N/A</v>
      </c>
      <c r="M105" t="e">
        <f>VLOOKUP(D105,Charges!$D$8:$D$25,1,FALSE)</f>
        <v>#N/A</v>
      </c>
      <c r="O105" t="str">
        <f>VLOOKUP(D105,Retirement!$F$12:$F$79,1,FALSE)</f>
        <v>469BC89260290005</v>
      </c>
      <c r="Q105" t="s">
        <v>251</v>
      </c>
    </row>
    <row r="106" spans="1:17">
      <c r="A106" s="242" t="s">
        <v>287</v>
      </c>
      <c r="B106" s="243">
        <v>5310</v>
      </c>
      <c r="C106" s="243" t="s">
        <v>273</v>
      </c>
      <c r="D106" s="243" t="s">
        <v>160</v>
      </c>
      <c r="E106" s="243" t="s">
        <v>299</v>
      </c>
      <c r="F106" s="243" t="s">
        <v>274</v>
      </c>
      <c r="G106" s="243">
        <v>-5310</v>
      </c>
      <c r="H106" s="243" t="s">
        <v>287</v>
      </c>
      <c r="I106" s="243" t="s">
        <v>278</v>
      </c>
      <c r="J106" s="245">
        <v>46138</v>
      </c>
      <c r="K106" t="str">
        <f>VLOOKUP(D106,Sales!$G$3:$G$45,1,FALSE)</f>
        <v>469BC89261130003</v>
      </c>
      <c r="M106" t="e">
        <f>VLOOKUP(D106,Charges!$D$8:$D$25,1,FALSE)</f>
        <v>#N/A</v>
      </c>
      <c r="O106" t="e">
        <f>VLOOKUP(D106,Retirement!$F$12:$F$79,1,FALSE)</f>
        <v>#N/A</v>
      </c>
      <c r="Q106" t="s">
        <v>160</v>
      </c>
    </row>
    <row r="107" spans="1:17">
      <c r="A107" s="246" t="s">
        <v>272</v>
      </c>
      <c r="B107" s="247">
        <v>25049.93</v>
      </c>
      <c r="C107" s="247" t="s">
        <v>273</v>
      </c>
      <c r="D107" s="247" t="s">
        <v>261</v>
      </c>
      <c r="E107" s="247" t="s">
        <v>299</v>
      </c>
      <c r="F107" s="247" t="s">
        <v>274</v>
      </c>
      <c r="G107" s="247">
        <v>-25049.93</v>
      </c>
      <c r="H107" s="247" t="s">
        <v>272</v>
      </c>
      <c r="I107" s="247" t="s">
        <v>196</v>
      </c>
      <c r="J107" s="249">
        <v>46138</v>
      </c>
      <c r="K107" t="e">
        <f>VLOOKUP(D107,Sales!$G$3:$G$45,1,FALSE)</f>
        <v>#N/A</v>
      </c>
      <c r="M107" t="e">
        <f>VLOOKUP(D107,Charges!$D$8:$D$25,1,FALSE)</f>
        <v>#N/A</v>
      </c>
      <c r="O107" t="str">
        <f>VLOOKUP(D107,Retirement!$F$12:$F$79,1,FALSE)</f>
        <v>469BC89260650003</v>
      </c>
      <c r="Q107" t="s">
        <v>261</v>
      </c>
    </row>
    <row r="108" spans="1:17">
      <c r="A108" s="242" t="s">
        <v>276</v>
      </c>
      <c r="B108" s="243">
        <v>1770</v>
      </c>
      <c r="C108" s="243" t="s">
        <v>273</v>
      </c>
      <c r="D108" s="243" t="s">
        <v>206</v>
      </c>
      <c r="E108" s="243" t="s">
        <v>299</v>
      </c>
      <c r="F108" s="243" t="s">
        <v>277</v>
      </c>
      <c r="G108" s="243">
        <v>-1770</v>
      </c>
      <c r="H108" s="243" t="s">
        <v>276</v>
      </c>
      <c r="I108" s="243" t="s">
        <v>278</v>
      </c>
      <c r="J108" s="245">
        <v>46138</v>
      </c>
      <c r="K108" t="e">
        <f>VLOOKUP(D108,Sales!$G$3:$G$45,1,FALSE)</f>
        <v>#N/A</v>
      </c>
      <c r="M108" t="str">
        <f>VLOOKUP(D108,Charges!$D$8:$D$25,1,FALSE)</f>
        <v>014LCEX261130002</v>
      </c>
      <c r="O108" t="e">
        <f>VLOOKUP(D108,Retirement!$F$12:$F$79,1,FALSE)</f>
        <v>#N/A</v>
      </c>
      <c r="Q108" t="s">
        <v>206</v>
      </c>
    </row>
    <row r="109" spans="1:17">
      <c r="A109" s="246" t="s">
        <v>287</v>
      </c>
      <c r="B109" s="247">
        <v>5310</v>
      </c>
      <c r="C109" s="247" t="s">
        <v>273</v>
      </c>
      <c r="D109" s="247" t="s">
        <v>156</v>
      </c>
      <c r="E109" s="247" t="s">
        <v>299</v>
      </c>
      <c r="F109" s="247" t="s">
        <v>274</v>
      </c>
      <c r="G109" s="247">
        <v>-5310</v>
      </c>
      <c r="H109" s="247" t="s">
        <v>287</v>
      </c>
      <c r="I109" s="247" t="s">
        <v>278</v>
      </c>
      <c r="J109" s="249">
        <v>46138</v>
      </c>
      <c r="K109" t="str">
        <f>VLOOKUP(D109,Sales!$G$3:$G$45,1,FALSE)</f>
        <v>469BC89261130001</v>
      </c>
      <c r="M109" t="e">
        <f>VLOOKUP(D109,Charges!$D$8:$D$25,1,FALSE)</f>
        <v>#N/A</v>
      </c>
      <c r="O109" t="e">
        <f>VLOOKUP(D109,Retirement!$F$12:$F$79,1,FALSE)</f>
        <v>#N/A</v>
      </c>
      <c r="Q109" t="s">
        <v>156</v>
      </c>
    </row>
    <row r="110" spans="1:17">
      <c r="A110" s="242" t="s">
        <v>280</v>
      </c>
      <c r="B110" s="243">
        <v>7354826</v>
      </c>
      <c r="C110" s="243" t="s">
        <v>273</v>
      </c>
      <c r="D110" s="243" t="s">
        <v>229</v>
      </c>
      <c r="E110" s="243" t="s">
        <v>299</v>
      </c>
      <c r="F110" s="243" t="s">
        <v>274</v>
      </c>
      <c r="G110" s="243">
        <v>-7354826</v>
      </c>
      <c r="H110" s="243" t="s">
        <v>280</v>
      </c>
      <c r="I110" s="243" t="s">
        <v>196</v>
      </c>
      <c r="J110" s="245">
        <v>46138</v>
      </c>
      <c r="K110" t="e">
        <f>VLOOKUP(D110,Sales!$G$3:$G$45,1,FALSE)</f>
        <v>#N/A</v>
      </c>
      <c r="M110" t="e">
        <f>VLOOKUP(D110,Charges!$D$8:$D$25,1,FALSE)</f>
        <v>#N/A</v>
      </c>
      <c r="O110" t="str">
        <f>VLOOKUP(D110,Retirement!$F$12:$F$79,1,FALSE)</f>
        <v>469BC04260290006</v>
      </c>
      <c r="Q110" t="s">
        <v>229</v>
      </c>
    </row>
    <row r="111" spans="1:17">
      <c r="A111" s="246" t="s">
        <v>281</v>
      </c>
      <c r="B111" s="247">
        <v>64889972.920000002</v>
      </c>
      <c r="C111" s="247" t="s">
        <v>282</v>
      </c>
      <c r="D111" s="247" t="s">
        <v>167</v>
      </c>
      <c r="E111" s="247" t="s">
        <v>300</v>
      </c>
      <c r="F111" s="247" t="s">
        <v>274</v>
      </c>
      <c r="G111" s="247">
        <v>64889972.920000002</v>
      </c>
      <c r="H111" s="247" t="s">
        <v>281</v>
      </c>
      <c r="I111" s="247" t="s">
        <v>196</v>
      </c>
      <c r="J111" s="249">
        <v>46138</v>
      </c>
      <c r="K111" t="str">
        <f>VLOOKUP(D111,Sales!$G$3:$G$45,1,FALSE)</f>
        <v>469BC89261140007</v>
      </c>
      <c r="M111" t="e">
        <f>VLOOKUP(D111,Charges!$D$8:$D$25,1,FALSE)</f>
        <v>#N/A</v>
      </c>
      <c r="O111" t="e">
        <f>VLOOKUP(D111,Retirement!$F$12:$F$79,1,FALSE)</f>
        <v>#N/A</v>
      </c>
      <c r="Q111" t="s">
        <v>167</v>
      </c>
    </row>
    <row r="112" spans="1:17">
      <c r="A112" s="242" t="s">
        <v>281</v>
      </c>
      <c r="B112" s="243">
        <v>13119530.23</v>
      </c>
      <c r="C112" s="243" t="s">
        <v>282</v>
      </c>
      <c r="D112" s="243" t="s">
        <v>164</v>
      </c>
      <c r="E112" s="243" t="s">
        <v>300</v>
      </c>
      <c r="F112" s="243" t="s">
        <v>274</v>
      </c>
      <c r="G112" s="243">
        <v>13119530.23</v>
      </c>
      <c r="H112" s="243" t="s">
        <v>281</v>
      </c>
      <c r="I112" s="243" t="s">
        <v>196</v>
      </c>
      <c r="J112" s="245">
        <v>46138</v>
      </c>
      <c r="K112" t="str">
        <f>VLOOKUP(D112,Sales!$G$3:$G$45,1,FALSE)</f>
        <v>469BC89261140003</v>
      </c>
      <c r="M112" t="e">
        <f>VLOOKUP(D112,Charges!$D$8:$D$25,1,FALSE)</f>
        <v>#N/A</v>
      </c>
      <c r="O112" t="e">
        <f>VLOOKUP(D112,Retirement!$F$12:$F$79,1,FALSE)</f>
        <v>#N/A</v>
      </c>
      <c r="Q112" t="s">
        <v>164</v>
      </c>
    </row>
    <row r="113" spans="1:17">
      <c r="A113" s="246" t="s">
        <v>287</v>
      </c>
      <c r="B113" s="247">
        <v>5310</v>
      </c>
      <c r="C113" s="247" t="s">
        <v>273</v>
      </c>
      <c r="D113" s="247" t="s">
        <v>178</v>
      </c>
      <c r="E113" s="247" t="s">
        <v>300</v>
      </c>
      <c r="F113" s="247" t="s">
        <v>274</v>
      </c>
      <c r="G113" s="247">
        <v>-5310</v>
      </c>
      <c r="H113" s="247" t="s">
        <v>287</v>
      </c>
      <c r="I113" s="247" t="s">
        <v>278</v>
      </c>
      <c r="J113" s="249">
        <v>46138</v>
      </c>
      <c r="K113" t="str">
        <f>VLOOKUP(D113,Sales!$G$3:$G$45,1,FALSE)</f>
        <v>469BC89261140010</v>
      </c>
      <c r="M113" t="e">
        <f>VLOOKUP(D113,Charges!$D$8:$D$25,1,FALSE)</f>
        <v>#N/A</v>
      </c>
      <c r="O113" t="e">
        <f>VLOOKUP(D113,Retirement!$F$12:$F$79,1,FALSE)</f>
        <v>#N/A</v>
      </c>
      <c r="Q113" t="s">
        <v>178</v>
      </c>
    </row>
    <row r="114" spans="1:17">
      <c r="A114" s="242" t="s">
        <v>281</v>
      </c>
      <c r="B114" s="243">
        <v>8542956.5399999991</v>
      </c>
      <c r="C114" s="243" t="s">
        <v>282</v>
      </c>
      <c r="D114" s="243" t="s">
        <v>156</v>
      </c>
      <c r="E114" s="243" t="s">
        <v>300</v>
      </c>
      <c r="F114" s="243" t="s">
        <v>274</v>
      </c>
      <c r="G114" s="243">
        <v>8542956.5399999991</v>
      </c>
      <c r="H114" s="243" t="s">
        <v>281</v>
      </c>
      <c r="I114" s="243" t="s">
        <v>196</v>
      </c>
      <c r="J114" s="245">
        <v>46138</v>
      </c>
      <c r="K114" t="str">
        <f>VLOOKUP(D114,Sales!$G$3:$G$45,1,FALSE)</f>
        <v>469BC89261130001</v>
      </c>
      <c r="M114" t="e">
        <f>VLOOKUP(D114,Charges!$D$8:$D$25,1,FALSE)</f>
        <v>#N/A</v>
      </c>
      <c r="O114" t="e">
        <f>VLOOKUP(D114,Retirement!$F$12:$F$79,1,FALSE)</f>
        <v>#N/A</v>
      </c>
      <c r="Q114" t="s">
        <v>156</v>
      </c>
    </row>
    <row r="115" spans="1:17">
      <c r="A115" s="246" t="s">
        <v>281</v>
      </c>
      <c r="B115" s="247">
        <v>15741134.789999999</v>
      </c>
      <c r="C115" s="247" t="s">
        <v>282</v>
      </c>
      <c r="D115" s="247" t="s">
        <v>172</v>
      </c>
      <c r="E115" s="247" t="s">
        <v>300</v>
      </c>
      <c r="F115" s="247" t="s">
        <v>274</v>
      </c>
      <c r="G115" s="247">
        <v>15741134.789999999</v>
      </c>
      <c r="H115" s="247" t="s">
        <v>281</v>
      </c>
      <c r="I115" s="247" t="s">
        <v>196</v>
      </c>
      <c r="J115" s="249">
        <v>46138</v>
      </c>
      <c r="K115" t="str">
        <f>VLOOKUP(D115,Sales!$G$3:$G$45,1,FALSE)</f>
        <v>469BC89261140009</v>
      </c>
      <c r="M115" t="e">
        <f>VLOOKUP(D115,Charges!$D$8:$D$25,1,FALSE)</f>
        <v>#N/A</v>
      </c>
      <c r="O115" t="e">
        <f>VLOOKUP(D115,Retirement!$F$12:$F$79,1,FALSE)</f>
        <v>#N/A</v>
      </c>
      <c r="Q115" t="s">
        <v>172</v>
      </c>
    </row>
    <row r="116" spans="1:17">
      <c r="A116" s="242" t="s">
        <v>281</v>
      </c>
      <c r="B116" s="243">
        <v>13215122.890000001</v>
      </c>
      <c r="C116" s="243" t="s">
        <v>282</v>
      </c>
      <c r="D116" s="243" t="s">
        <v>170</v>
      </c>
      <c r="E116" s="243" t="s">
        <v>300</v>
      </c>
      <c r="F116" s="243" t="s">
        <v>274</v>
      </c>
      <c r="G116" s="243">
        <v>13215122.890000001</v>
      </c>
      <c r="H116" s="243" t="s">
        <v>281</v>
      </c>
      <c r="I116" s="243" t="s">
        <v>196</v>
      </c>
      <c r="J116" s="245">
        <v>46138</v>
      </c>
      <c r="K116" t="str">
        <f>VLOOKUP(D116,Sales!$G$3:$G$45,1,FALSE)</f>
        <v>469BC89261140008</v>
      </c>
      <c r="M116" t="e">
        <f>VLOOKUP(D116,Charges!$D$8:$D$25,1,FALSE)</f>
        <v>#N/A</v>
      </c>
      <c r="O116" t="e">
        <f>VLOOKUP(D116,Retirement!$F$12:$F$79,1,FALSE)</f>
        <v>#N/A</v>
      </c>
      <c r="Q116" t="s">
        <v>170</v>
      </c>
    </row>
    <row r="117" spans="1:17">
      <c r="A117" s="246" t="s">
        <v>287</v>
      </c>
      <c r="B117" s="247">
        <v>5310</v>
      </c>
      <c r="C117" s="247" t="s">
        <v>273</v>
      </c>
      <c r="D117" s="247" t="s">
        <v>170</v>
      </c>
      <c r="E117" s="247" t="s">
        <v>300</v>
      </c>
      <c r="F117" s="247" t="s">
        <v>274</v>
      </c>
      <c r="G117" s="247">
        <v>-5310</v>
      </c>
      <c r="H117" s="247" t="s">
        <v>287</v>
      </c>
      <c r="I117" s="247" t="s">
        <v>278</v>
      </c>
      <c r="J117" s="249">
        <v>46138</v>
      </c>
      <c r="K117" t="str">
        <f>VLOOKUP(D117,Sales!$G$3:$G$45,1,FALSE)</f>
        <v>469BC89261140008</v>
      </c>
      <c r="M117" t="e">
        <f>VLOOKUP(D117,Charges!$D$8:$D$25,1,FALSE)</f>
        <v>#N/A</v>
      </c>
      <c r="O117" t="e">
        <f>VLOOKUP(D117,Retirement!$F$12:$F$79,1,FALSE)</f>
        <v>#N/A</v>
      </c>
      <c r="Q117" t="s">
        <v>170</v>
      </c>
    </row>
    <row r="118" spans="1:17">
      <c r="A118" s="242" t="s">
        <v>287</v>
      </c>
      <c r="B118" s="243">
        <v>5310</v>
      </c>
      <c r="C118" s="243" t="s">
        <v>273</v>
      </c>
      <c r="D118" s="243" t="s">
        <v>167</v>
      </c>
      <c r="E118" s="243" t="s">
        <v>300</v>
      </c>
      <c r="F118" s="243" t="s">
        <v>274</v>
      </c>
      <c r="G118" s="243">
        <v>-5310</v>
      </c>
      <c r="H118" s="243" t="s">
        <v>287</v>
      </c>
      <c r="I118" s="243" t="s">
        <v>278</v>
      </c>
      <c r="J118" s="245">
        <v>46138</v>
      </c>
      <c r="K118" t="str">
        <f>VLOOKUP(D118,Sales!$G$3:$G$45,1,FALSE)</f>
        <v>469BC89261140007</v>
      </c>
      <c r="M118" t="e">
        <f>VLOOKUP(D118,Charges!$D$8:$D$25,1,FALSE)</f>
        <v>#N/A</v>
      </c>
      <c r="O118" t="e">
        <f>VLOOKUP(D118,Retirement!$F$12:$F$79,1,FALSE)</f>
        <v>#N/A</v>
      </c>
      <c r="Q118" t="s">
        <v>167</v>
      </c>
    </row>
    <row r="119" spans="1:17">
      <c r="A119" s="246" t="s">
        <v>287</v>
      </c>
      <c r="B119" s="247">
        <v>5310</v>
      </c>
      <c r="C119" s="247" t="s">
        <v>273</v>
      </c>
      <c r="D119" s="247" t="s">
        <v>164</v>
      </c>
      <c r="E119" s="247" t="s">
        <v>300</v>
      </c>
      <c r="F119" s="247" t="s">
        <v>274</v>
      </c>
      <c r="G119" s="247">
        <v>-5310</v>
      </c>
      <c r="H119" s="247" t="s">
        <v>287</v>
      </c>
      <c r="I119" s="247" t="s">
        <v>278</v>
      </c>
      <c r="J119" s="249">
        <v>46138</v>
      </c>
      <c r="K119" t="str">
        <f>VLOOKUP(D119,Sales!$G$3:$G$45,1,FALSE)</f>
        <v>469BC89261140003</v>
      </c>
      <c r="M119" t="e">
        <f>VLOOKUP(D119,Charges!$D$8:$D$25,1,FALSE)</f>
        <v>#N/A</v>
      </c>
      <c r="O119" t="e">
        <f>VLOOKUP(D119,Retirement!$F$12:$F$79,1,FALSE)</f>
        <v>#N/A</v>
      </c>
      <c r="Q119" t="s">
        <v>164</v>
      </c>
    </row>
    <row r="120" spans="1:17">
      <c r="A120" s="242" t="s">
        <v>275</v>
      </c>
      <c r="B120" s="243">
        <v>45</v>
      </c>
      <c r="C120" s="243" t="s">
        <v>273</v>
      </c>
      <c r="D120" s="243" t="s">
        <v>261</v>
      </c>
      <c r="E120" s="243" t="s">
        <v>300</v>
      </c>
      <c r="F120" s="243" t="s">
        <v>274</v>
      </c>
      <c r="G120" s="243">
        <v>-45</v>
      </c>
      <c r="H120" s="243" t="s">
        <v>275</v>
      </c>
      <c r="I120" s="243" t="s">
        <v>76</v>
      </c>
      <c r="J120" s="245">
        <v>46138</v>
      </c>
      <c r="K120" t="e">
        <f>VLOOKUP(D120,Sales!$G$3:$G$45,1,FALSE)</f>
        <v>#N/A</v>
      </c>
      <c r="M120" t="e">
        <f>VLOOKUP(D120,Charges!$D$8:$D$25,1,FALSE)</f>
        <v>#N/A</v>
      </c>
      <c r="O120" t="str">
        <f>VLOOKUP(D120,Retirement!$F$12:$F$79,1,FALSE)</f>
        <v>469BC89260650003</v>
      </c>
      <c r="Q120" t="s">
        <v>261</v>
      </c>
    </row>
    <row r="121" spans="1:17">
      <c r="A121" s="246" t="s">
        <v>280</v>
      </c>
      <c r="B121" s="247">
        <v>14344717</v>
      </c>
      <c r="C121" s="247" t="s">
        <v>273</v>
      </c>
      <c r="D121" s="247" t="s">
        <v>230</v>
      </c>
      <c r="E121" s="247" t="s">
        <v>300</v>
      </c>
      <c r="F121" s="247" t="s">
        <v>274</v>
      </c>
      <c r="G121" s="247">
        <v>-14344717</v>
      </c>
      <c r="H121" s="247" t="s">
        <v>280</v>
      </c>
      <c r="I121" s="247" t="s">
        <v>196</v>
      </c>
      <c r="J121" s="249">
        <v>46138</v>
      </c>
      <c r="K121" t="e">
        <f>VLOOKUP(D121,Sales!$G$3:$G$45,1,FALSE)</f>
        <v>#N/A</v>
      </c>
      <c r="M121" t="e">
        <f>VLOOKUP(D121,Charges!$D$8:$D$25,1,FALSE)</f>
        <v>#N/A</v>
      </c>
      <c r="O121" t="str">
        <f>VLOOKUP(D121,Retirement!$F$12:$F$79,1,FALSE)</f>
        <v>469BC04260300009</v>
      </c>
      <c r="Q121" t="s">
        <v>230</v>
      </c>
    </row>
    <row r="122" spans="1:17">
      <c r="A122" s="242" t="s">
        <v>287</v>
      </c>
      <c r="B122" s="243">
        <v>5310</v>
      </c>
      <c r="C122" s="243" t="s">
        <v>273</v>
      </c>
      <c r="D122" s="243" t="s">
        <v>172</v>
      </c>
      <c r="E122" s="243" t="s">
        <v>300</v>
      </c>
      <c r="F122" s="243" t="s">
        <v>274</v>
      </c>
      <c r="G122" s="243">
        <v>-5310</v>
      </c>
      <c r="H122" s="243" t="s">
        <v>287</v>
      </c>
      <c r="I122" s="243" t="s">
        <v>278</v>
      </c>
      <c r="J122" s="245">
        <v>46138</v>
      </c>
      <c r="K122" t="str">
        <f>VLOOKUP(D122,Sales!$G$3:$G$45,1,FALSE)</f>
        <v>469BC89261140009</v>
      </c>
      <c r="M122" t="e">
        <f>VLOOKUP(D122,Charges!$D$8:$D$25,1,FALSE)</f>
        <v>#N/A</v>
      </c>
      <c r="O122" t="e">
        <f>VLOOKUP(D122,Retirement!$F$12:$F$79,1,FALSE)</f>
        <v>#N/A</v>
      </c>
      <c r="Q122" t="s">
        <v>172</v>
      </c>
    </row>
    <row r="123" spans="1:17">
      <c r="A123" s="246" t="s">
        <v>272</v>
      </c>
      <c r="B123" s="247">
        <v>48407.22</v>
      </c>
      <c r="C123" s="247" t="s">
        <v>273</v>
      </c>
      <c r="D123" s="247" t="s">
        <v>259</v>
      </c>
      <c r="E123" s="247" t="s">
        <v>301</v>
      </c>
      <c r="F123" s="247" t="s">
        <v>274</v>
      </c>
      <c r="G123" s="247">
        <v>-48407.22</v>
      </c>
      <c r="H123" s="247" t="s">
        <v>272</v>
      </c>
      <c r="I123" s="247" t="s">
        <v>196</v>
      </c>
      <c r="J123" s="249">
        <v>46138</v>
      </c>
      <c r="K123" t="e">
        <f>VLOOKUP(D123,Sales!$G$3:$G$45,1,FALSE)</f>
        <v>#N/A</v>
      </c>
      <c r="M123" t="e">
        <f>VLOOKUP(D123,Charges!$D$8:$D$25,1,FALSE)</f>
        <v>#N/A</v>
      </c>
      <c r="O123" t="str">
        <f>VLOOKUP(D123,Retirement!$F$12:$F$79,1,FALSE)</f>
        <v>469BC89260630001</v>
      </c>
      <c r="Q123" t="s">
        <v>259</v>
      </c>
    </row>
    <row r="124" spans="1:17">
      <c r="A124" s="242" t="s">
        <v>272</v>
      </c>
      <c r="B124" s="243">
        <v>5678</v>
      </c>
      <c r="C124" s="243" t="s">
        <v>273</v>
      </c>
      <c r="D124" s="243" t="s">
        <v>260</v>
      </c>
      <c r="E124" s="243" t="s">
        <v>301</v>
      </c>
      <c r="F124" s="243" t="s">
        <v>274</v>
      </c>
      <c r="G124" s="243">
        <v>-5678</v>
      </c>
      <c r="H124" s="243" t="s">
        <v>272</v>
      </c>
      <c r="I124" s="243" t="s">
        <v>196</v>
      </c>
      <c r="J124" s="245">
        <v>46138</v>
      </c>
      <c r="K124" t="e">
        <f>VLOOKUP(D124,Sales!$G$3:$G$45,1,FALSE)</f>
        <v>#N/A</v>
      </c>
      <c r="M124" t="e">
        <f>VLOOKUP(D124,Charges!$D$8:$D$25,1,FALSE)</f>
        <v>#N/A</v>
      </c>
      <c r="O124" t="str">
        <f>VLOOKUP(D124,Retirement!$F$12:$F$79,1,FALSE)</f>
        <v>469BC89260650002</v>
      </c>
      <c r="Q124" t="s">
        <v>260</v>
      </c>
    </row>
    <row r="125" spans="1:17">
      <c r="A125" s="246" t="s">
        <v>287</v>
      </c>
      <c r="B125" s="247">
        <v>5310</v>
      </c>
      <c r="C125" s="247" t="s">
        <v>273</v>
      </c>
      <c r="D125" s="247" t="s">
        <v>176</v>
      </c>
      <c r="E125" s="247" t="s">
        <v>301</v>
      </c>
      <c r="F125" s="247" t="s">
        <v>274</v>
      </c>
      <c r="G125" s="247">
        <v>-5310</v>
      </c>
      <c r="H125" s="247" t="s">
        <v>287</v>
      </c>
      <c r="I125" s="247" t="s">
        <v>278</v>
      </c>
      <c r="J125" s="249">
        <v>46138</v>
      </c>
      <c r="K125" t="str">
        <f>VLOOKUP(D125,Sales!$G$3:$G$45,1,FALSE)</f>
        <v>469BC89261170007</v>
      </c>
      <c r="M125" t="e">
        <f>VLOOKUP(D125,Charges!$D$8:$D$25,1,FALSE)</f>
        <v>#N/A</v>
      </c>
      <c r="O125" t="e">
        <f>VLOOKUP(D125,Retirement!$F$12:$F$79,1,FALSE)</f>
        <v>#N/A</v>
      </c>
      <c r="Q125" t="s">
        <v>176</v>
      </c>
    </row>
    <row r="126" spans="1:17">
      <c r="A126" s="242" t="s">
        <v>280</v>
      </c>
      <c r="B126" s="243">
        <v>2595450</v>
      </c>
      <c r="C126" s="243" t="s">
        <v>273</v>
      </c>
      <c r="D126" s="243" t="s">
        <v>232</v>
      </c>
      <c r="E126" s="243" t="s">
        <v>302</v>
      </c>
      <c r="F126" s="243" t="s">
        <v>274</v>
      </c>
      <c r="G126" s="243">
        <v>-2595450</v>
      </c>
      <c r="H126" s="243" t="s">
        <v>280</v>
      </c>
      <c r="I126" s="243" t="s">
        <v>196</v>
      </c>
      <c r="J126" s="245">
        <v>46138</v>
      </c>
      <c r="K126" t="e">
        <f>VLOOKUP(D126,Sales!$G$3:$G$45,1,FALSE)</f>
        <v>#N/A</v>
      </c>
      <c r="M126" t="e">
        <f>VLOOKUP(D126,Charges!$D$8:$D$25,1,FALSE)</f>
        <v>#N/A</v>
      </c>
      <c r="O126" t="str">
        <f>VLOOKUP(D126,Retirement!$F$12:$F$79,1,FALSE)</f>
        <v>469BC04260350004</v>
      </c>
      <c r="Q126" t="s">
        <v>232</v>
      </c>
    </row>
    <row r="127" spans="1:17">
      <c r="A127" s="246" t="s">
        <v>280</v>
      </c>
      <c r="B127" s="247">
        <v>2597043</v>
      </c>
      <c r="C127" s="247" t="s">
        <v>273</v>
      </c>
      <c r="D127" s="247" t="s">
        <v>231</v>
      </c>
      <c r="E127" s="247" t="s">
        <v>302</v>
      </c>
      <c r="F127" s="247" t="s">
        <v>274</v>
      </c>
      <c r="G127" s="247">
        <v>-2597043</v>
      </c>
      <c r="H127" s="247" t="s">
        <v>280</v>
      </c>
      <c r="I127" s="247" t="s">
        <v>196</v>
      </c>
      <c r="J127" s="249">
        <v>46138</v>
      </c>
      <c r="K127" t="e">
        <f>VLOOKUP(D127,Sales!$G$3:$G$45,1,FALSE)</f>
        <v>#N/A</v>
      </c>
      <c r="M127" t="e">
        <f>VLOOKUP(D127,Charges!$D$8:$D$25,1,FALSE)</f>
        <v>#N/A</v>
      </c>
      <c r="O127" t="str">
        <f>VLOOKUP(D127,Retirement!$F$12:$F$79,1,FALSE)</f>
        <v>469BC04260330001</v>
      </c>
      <c r="Q127" t="s">
        <v>231</v>
      </c>
    </row>
    <row r="128" spans="1:17">
      <c r="A128" s="242" t="s">
        <v>275</v>
      </c>
      <c r="B128" s="243">
        <v>45</v>
      </c>
      <c r="C128" s="243" t="s">
        <v>273</v>
      </c>
      <c r="D128" s="243" t="s">
        <v>260</v>
      </c>
      <c r="E128" s="243" t="s">
        <v>302</v>
      </c>
      <c r="F128" s="243" t="s">
        <v>274</v>
      </c>
      <c r="G128" s="243">
        <v>-45</v>
      </c>
      <c r="H128" s="243" t="s">
        <v>275</v>
      </c>
      <c r="I128" s="243" t="s">
        <v>76</v>
      </c>
      <c r="J128" s="245">
        <v>46138</v>
      </c>
      <c r="K128" t="e">
        <f>VLOOKUP(D128,Sales!$G$3:$G$45,1,FALSE)</f>
        <v>#N/A</v>
      </c>
      <c r="M128" t="e">
        <f>VLOOKUP(D128,Charges!$D$8:$D$25,1,FALSE)</f>
        <v>#N/A</v>
      </c>
      <c r="O128" t="str">
        <f>VLOOKUP(D128,Retirement!$F$12:$F$79,1,FALSE)</f>
        <v>469BC89260650002</v>
      </c>
      <c r="Q128" t="s">
        <v>260</v>
      </c>
    </row>
    <row r="129" spans="1:17">
      <c r="A129" s="246" t="s">
        <v>272</v>
      </c>
      <c r="B129" s="247">
        <v>6264.5</v>
      </c>
      <c r="C129" s="247" t="s">
        <v>273</v>
      </c>
      <c r="D129" s="247" t="s">
        <v>253</v>
      </c>
      <c r="E129" s="247" t="s">
        <v>302</v>
      </c>
      <c r="F129" s="247" t="s">
        <v>274</v>
      </c>
      <c r="G129" s="247">
        <v>-6264.5</v>
      </c>
      <c r="H129" s="247" t="s">
        <v>272</v>
      </c>
      <c r="I129" s="247" t="s">
        <v>196</v>
      </c>
      <c r="J129" s="249">
        <v>46138</v>
      </c>
      <c r="K129" t="e">
        <f>VLOOKUP(D129,Sales!$G$3:$G$45,1,FALSE)</f>
        <v>#N/A</v>
      </c>
      <c r="M129" t="e">
        <f>VLOOKUP(D129,Charges!$D$8:$D$25,1,FALSE)</f>
        <v>#N/A</v>
      </c>
      <c r="O129" t="str">
        <f>VLOOKUP(D129,Retirement!$F$12:$F$79,1,FALSE)</f>
        <v>469BC89260360013</v>
      </c>
      <c r="Q129" t="s">
        <v>253</v>
      </c>
    </row>
    <row r="130" spans="1:17">
      <c r="A130" s="242" t="s">
        <v>275</v>
      </c>
      <c r="B130" s="243">
        <v>87.14</v>
      </c>
      <c r="C130" s="243" t="s">
        <v>273</v>
      </c>
      <c r="D130" s="243" t="s">
        <v>259</v>
      </c>
      <c r="E130" s="243" t="s">
        <v>302</v>
      </c>
      <c r="F130" s="243" t="s">
        <v>274</v>
      </c>
      <c r="G130" s="243">
        <v>-87.14</v>
      </c>
      <c r="H130" s="243" t="s">
        <v>275</v>
      </c>
      <c r="I130" s="243" t="s">
        <v>76</v>
      </c>
      <c r="J130" s="245">
        <v>46138</v>
      </c>
      <c r="K130" t="e">
        <f>VLOOKUP(D130,Sales!$G$3:$G$45,1,FALSE)</f>
        <v>#N/A</v>
      </c>
      <c r="M130" t="e">
        <f>VLOOKUP(D130,Charges!$D$8:$D$25,1,FALSE)</f>
        <v>#N/A</v>
      </c>
      <c r="O130" t="str">
        <f>VLOOKUP(D130,Retirement!$F$12:$F$79,1,FALSE)</f>
        <v>469BC89260630001</v>
      </c>
      <c r="Q130" t="s">
        <v>259</v>
      </c>
    </row>
    <row r="131" spans="1:17">
      <c r="A131" s="246" t="s">
        <v>281</v>
      </c>
      <c r="B131" s="247">
        <v>16751499.890000001</v>
      </c>
      <c r="C131" s="247" t="s">
        <v>282</v>
      </c>
      <c r="D131" s="247" t="s">
        <v>176</v>
      </c>
      <c r="E131" s="247" t="s">
        <v>302</v>
      </c>
      <c r="F131" s="247" t="s">
        <v>274</v>
      </c>
      <c r="G131" s="247">
        <v>16751499.890000001</v>
      </c>
      <c r="H131" s="247" t="s">
        <v>281</v>
      </c>
      <c r="I131" s="247" t="s">
        <v>196</v>
      </c>
      <c r="J131" s="249">
        <v>46138</v>
      </c>
      <c r="K131" t="str">
        <f>VLOOKUP(D131,Sales!$G$3:$G$45,1,FALSE)</f>
        <v>469BC89261170007</v>
      </c>
      <c r="M131" t="e">
        <f>VLOOKUP(D131,Charges!$D$8:$D$25,1,FALSE)</f>
        <v>#N/A</v>
      </c>
      <c r="O131" t="e">
        <f>VLOOKUP(D131,Retirement!$F$12:$F$79,1,FALSE)</f>
        <v>#N/A</v>
      </c>
      <c r="Q131" t="s">
        <v>176</v>
      </c>
    </row>
    <row r="132" spans="1:17">
      <c r="A132" s="242" t="s">
        <v>287</v>
      </c>
      <c r="B132" s="243">
        <v>5310</v>
      </c>
      <c r="C132" s="243" t="s">
        <v>273</v>
      </c>
      <c r="D132" s="243" t="s">
        <v>180</v>
      </c>
      <c r="E132" s="243" t="s">
        <v>302</v>
      </c>
      <c r="F132" s="243" t="s">
        <v>274</v>
      </c>
      <c r="G132" s="243">
        <v>-5310</v>
      </c>
      <c r="H132" s="243" t="s">
        <v>287</v>
      </c>
      <c r="I132" s="243" t="s">
        <v>278</v>
      </c>
      <c r="J132" s="245">
        <v>46138</v>
      </c>
      <c r="K132" t="str">
        <f>VLOOKUP(D132,Sales!$G$3:$G$45,1,FALSE)</f>
        <v>469BC89261180001</v>
      </c>
      <c r="M132" t="e">
        <f>VLOOKUP(D132,Charges!$D$8:$D$25,1,FALSE)</f>
        <v>#N/A</v>
      </c>
      <c r="O132" t="e">
        <f>VLOOKUP(D132,Retirement!$F$12:$F$79,1,FALSE)</f>
        <v>#N/A</v>
      </c>
      <c r="Q132" t="s">
        <v>180</v>
      </c>
    </row>
    <row r="133" spans="1:17">
      <c r="A133" s="246" t="s">
        <v>281</v>
      </c>
      <c r="B133" s="247">
        <v>7393819.3600000003</v>
      </c>
      <c r="C133" s="247" t="s">
        <v>282</v>
      </c>
      <c r="D133" s="247" t="s">
        <v>178</v>
      </c>
      <c r="E133" s="247" t="s">
        <v>302</v>
      </c>
      <c r="F133" s="247" t="s">
        <v>274</v>
      </c>
      <c r="G133" s="247">
        <v>7393819.3600000003</v>
      </c>
      <c r="H133" s="247" t="s">
        <v>281</v>
      </c>
      <c r="I133" s="247" t="s">
        <v>196</v>
      </c>
      <c r="J133" s="249">
        <v>46138</v>
      </c>
      <c r="K133" t="str">
        <f>VLOOKUP(D133,Sales!$G$3:$G$45,1,FALSE)</f>
        <v>469BC89261140010</v>
      </c>
      <c r="M133" t="e">
        <f>VLOOKUP(D133,Charges!$D$8:$D$25,1,FALSE)</f>
        <v>#N/A</v>
      </c>
      <c r="O133" t="e">
        <f>VLOOKUP(D133,Retirement!$F$12:$F$79,1,FALSE)</f>
        <v>#N/A</v>
      </c>
      <c r="Q133" t="s">
        <v>178</v>
      </c>
    </row>
    <row r="134" spans="1:17">
      <c r="A134" s="242" t="s">
        <v>281</v>
      </c>
      <c r="B134" s="243">
        <v>45035034.420000002</v>
      </c>
      <c r="C134" s="243" t="s">
        <v>282</v>
      </c>
      <c r="D134" s="243" t="s">
        <v>180</v>
      </c>
      <c r="E134" s="243" t="s">
        <v>302</v>
      </c>
      <c r="F134" s="243" t="s">
        <v>274</v>
      </c>
      <c r="G134" s="243">
        <v>45035034.420000002</v>
      </c>
      <c r="H134" s="243" t="s">
        <v>281</v>
      </c>
      <c r="I134" s="243" t="s">
        <v>196</v>
      </c>
      <c r="J134" s="245">
        <v>46138</v>
      </c>
      <c r="K134" t="str">
        <f>VLOOKUP(D134,Sales!$G$3:$G$45,1,FALSE)</f>
        <v>469BC89261180001</v>
      </c>
      <c r="M134" t="e">
        <f>VLOOKUP(D134,Charges!$D$8:$D$25,1,FALSE)</f>
        <v>#N/A</v>
      </c>
      <c r="O134" t="e">
        <f>VLOOKUP(D134,Retirement!$F$12:$F$79,1,FALSE)</f>
        <v>#N/A</v>
      </c>
      <c r="Q134" t="s">
        <v>180</v>
      </c>
    </row>
    <row r="135" spans="1:17">
      <c r="A135" s="246" t="s">
        <v>281</v>
      </c>
      <c r="B135" s="247">
        <v>21797486.02</v>
      </c>
      <c r="C135" s="247" t="s">
        <v>282</v>
      </c>
      <c r="D135" s="247" t="s">
        <v>160</v>
      </c>
      <c r="E135" s="247" t="s">
        <v>302</v>
      </c>
      <c r="F135" s="247" t="s">
        <v>274</v>
      </c>
      <c r="G135" s="247">
        <v>21797486.02</v>
      </c>
      <c r="H135" s="247" t="s">
        <v>281</v>
      </c>
      <c r="I135" s="247" t="s">
        <v>196</v>
      </c>
      <c r="J135" s="249">
        <v>46138</v>
      </c>
      <c r="K135" t="str">
        <f>VLOOKUP(D135,Sales!$G$3:$G$45,1,FALSE)</f>
        <v>469BC89261130003</v>
      </c>
      <c r="M135" t="e">
        <f>VLOOKUP(D135,Charges!$D$8:$D$25,1,FALSE)</f>
        <v>#N/A</v>
      </c>
      <c r="O135" t="e">
        <f>VLOOKUP(D135,Retirement!$F$12:$F$79,1,FALSE)</f>
        <v>#N/A</v>
      </c>
      <c r="Q135" t="s">
        <v>160</v>
      </c>
    </row>
    <row r="136" spans="1:17">
      <c r="A136" s="242" t="s">
        <v>276</v>
      </c>
      <c r="B136" s="243">
        <v>1770</v>
      </c>
      <c r="C136" s="243" t="s">
        <v>273</v>
      </c>
      <c r="D136" s="243" t="s">
        <v>207</v>
      </c>
      <c r="E136" s="243" t="s">
        <v>303</v>
      </c>
      <c r="F136" s="243" t="s">
        <v>277</v>
      </c>
      <c r="G136" s="243">
        <v>-1770</v>
      </c>
      <c r="H136" s="243" t="s">
        <v>276</v>
      </c>
      <c r="I136" s="243" t="s">
        <v>278</v>
      </c>
      <c r="J136" s="245">
        <v>46138</v>
      </c>
      <c r="K136" t="e">
        <f>VLOOKUP(D136,Sales!$G$3:$G$45,1,FALSE)</f>
        <v>#N/A</v>
      </c>
      <c r="M136" t="str">
        <f>VLOOKUP(D136,Charges!$D$8:$D$25,1,FALSE)</f>
        <v>014LCEX261180044</v>
      </c>
      <c r="O136" t="e">
        <f>VLOOKUP(D136,Retirement!$F$12:$F$79,1,FALSE)</f>
        <v>#N/A</v>
      </c>
      <c r="Q136" t="s">
        <v>207</v>
      </c>
    </row>
    <row r="137" spans="1:17">
      <c r="A137" s="246" t="s">
        <v>275</v>
      </c>
      <c r="B137" s="247">
        <v>45</v>
      </c>
      <c r="C137" s="247" t="s">
        <v>273</v>
      </c>
      <c r="D137" s="247" t="s">
        <v>253</v>
      </c>
      <c r="E137" s="247" t="s">
        <v>304</v>
      </c>
      <c r="F137" s="247" t="s">
        <v>274</v>
      </c>
      <c r="G137" s="247">
        <v>-45</v>
      </c>
      <c r="H137" s="247" t="s">
        <v>275</v>
      </c>
      <c r="I137" s="247" t="s">
        <v>76</v>
      </c>
      <c r="J137" s="249">
        <v>46138</v>
      </c>
      <c r="K137" t="e">
        <f>VLOOKUP(D137,Sales!$G$3:$G$45,1,FALSE)</f>
        <v>#N/A</v>
      </c>
      <c r="M137" t="e">
        <f>VLOOKUP(D137,Charges!$D$8:$D$25,1,FALSE)</f>
        <v>#N/A</v>
      </c>
      <c r="O137" t="str">
        <f>VLOOKUP(D137,Retirement!$F$12:$F$79,1,FALSE)</f>
        <v>469BC89260360013</v>
      </c>
      <c r="Q137" t="s">
        <v>253</v>
      </c>
    </row>
    <row r="138" spans="1:17">
      <c r="A138" s="242" t="s">
        <v>289</v>
      </c>
      <c r="B138" s="243">
        <v>4267.0200000000004</v>
      </c>
      <c r="C138" s="243" t="s">
        <v>273</v>
      </c>
      <c r="D138" s="243" t="s">
        <v>185</v>
      </c>
      <c r="E138" s="243" t="s">
        <v>304</v>
      </c>
      <c r="F138" s="243" t="s">
        <v>274</v>
      </c>
      <c r="G138" s="243">
        <v>-4267.0200000000004</v>
      </c>
      <c r="H138" s="243" t="s">
        <v>289</v>
      </c>
      <c r="I138" s="243" t="s">
        <v>278</v>
      </c>
      <c r="J138" s="245">
        <v>46138</v>
      </c>
      <c r="K138" t="str">
        <f>VLOOKUP(D138,Sales!$G$3:$G$45,1,FALSE)</f>
        <v>469BC89261070001</v>
      </c>
      <c r="M138" t="e">
        <f>VLOOKUP(D138,Charges!$D$8:$D$25,1,FALSE)</f>
        <v>#N/A</v>
      </c>
      <c r="O138" t="str">
        <f>VLOOKUP(D138,Retirement!$F$12:$F$79,1,FALSE)</f>
        <v>469BC89261070001</v>
      </c>
      <c r="Q138" t="s">
        <v>286</v>
      </c>
    </row>
    <row r="139" spans="1:17">
      <c r="A139" s="246" t="s">
        <v>287</v>
      </c>
      <c r="B139" s="247">
        <v>5310</v>
      </c>
      <c r="C139" s="247" t="s">
        <v>273</v>
      </c>
      <c r="D139" s="247" t="s">
        <v>183</v>
      </c>
      <c r="E139" s="247" t="s">
        <v>304</v>
      </c>
      <c r="F139" s="247" t="s">
        <v>274</v>
      </c>
      <c r="G139" s="247">
        <v>-5310</v>
      </c>
      <c r="H139" s="247" t="s">
        <v>287</v>
      </c>
      <c r="I139" s="247" t="s">
        <v>278</v>
      </c>
      <c r="J139" s="249">
        <v>46138</v>
      </c>
      <c r="K139" t="str">
        <f>VLOOKUP(D139,Sales!$G$3:$G$45,1,FALSE)</f>
        <v>469BC89261200004</v>
      </c>
      <c r="M139" t="e">
        <f>VLOOKUP(D139,Charges!$D$8:$D$25,1,FALSE)</f>
        <v>#N/A</v>
      </c>
      <c r="O139" t="e">
        <f>VLOOKUP(D139,Retirement!$F$12:$F$79,1,FALSE)</f>
        <v>#N/A</v>
      </c>
      <c r="Q139" t="s">
        <v>183</v>
      </c>
    </row>
    <row r="140" spans="1:17">
      <c r="A140" s="242" t="s">
        <v>281</v>
      </c>
      <c r="B140" s="243">
        <v>43857749.25</v>
      </c>
      <c r="C140" s="243" t="s">
        <v>282</v>
      </c>
      <c r="D140" s="243" t="s">
        <v>183</v>
      </c>
      <c r="E140" s="243" t="s">
        <v>304</v>
      </c>
      <c r="F140" s="243" t="s">
        <v>274</v>
      </c>
      <c r="G140" s="243">
        <v>43857749.25</v>
      </c>
      <c r="H140" s="243" t="s">
        <v>281</v>
      </c>
      <c r="I140" s="243" t="s">
        <v>196</v>
      </c>
      <c r="J140" s="245">
        <v>46138</v>
      </c>
      <c r="K140" t="str">
        <f>VLOOKUP(D140,Sales!$G$3:$G$45,1,FALSE)</f>
        <v>469BC89261200004</v>
      </c>
      <c r="M140" t="e">
        <f>VLOOKUP(D140,Charges!$D$8:$D$25,1,FALSE)</f>
        <v>#N/A</v>
      </c>
      <c r="O140" t="e">
        <f>VLOOKUP(D140,Retirement!$F$12:$F$79,1,FALSE)</f>
        <v>#N/A</v>
      </c>
      <c r="Q140" t="s">
        <v>183</v>
      </c>
    </row>
    <row r="146" spans="11:15">
      <c r="K146">
        <f>VLOOKUP(D146,Sales!$G$3:$G$45,1,FALSE)</f>
        <v>0</v>
      </c>
      <c r="M146" t="e">
        <f>VLOOKUP(D146,Charges!$D$8:$D$25,1,FALSE)</f>
        <v>#N/A</v>
      </c>
      <c r="O146" t="e">
        <f>VLOOKUP(D146,Retirement!$F$12:$F$79,1,FALSE)</f>
        <v>#N/A</v>
      </c>
    </row>
  </sheetData>
  <autoFilter ref="A1:Q14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B1:AM36"/>
  <sheetViews>
    <sheetView showGridLines="0" workbookViewId="0">
      <selection activeCell="AK20" sqref="AK20"/>
    </sheetView>
  </sheetViews>
  <sheetFormatPr defaultColWidth="9.140625" defaultRowHeight="15"/>
  <cols>
    <col min="2" max="2" width="8.42578125" hidden="1" customWidth="1"/>
    <col min="3" max="3" width="9.28515625" bestFit="1" customWidth="1"/>
    <col min="4" max="4" width="23.5703125" bestFit="1" customWidth="1"/>
    <col min="5" max="5" width="23.5703125" hidden="1" customWidth="1"/>
    <col min="6" max="6" width="35" bestFit="1" customWidth="1"/>
    <col min="7" max="7" width="11.28515625" bestFit="1" customWidth="1"/>
    <col min="8" max="8" width="13.140625" bestFit="1" customWidth="1"/>
    <col min="9" max="9" width="11.42578125" bestFit="1" customWidth="1"/>
    <col min="10" max="10" width="12.42578125" customWidth="1"/>
    <col min="11" max="11" width="10.7109375" customWidth="1"/>
    <col min="12" max="12" width="7" bestFit="1" customWidth="1"/>
    <col min="13" max="13" width="10.85546875" bestFit="1" customWidth="1"/>
    <col min="14" max="14" width="11.5703125" customWidth="1"/>
    <col min="15" max="15" width="14.42578125" customWidth="1"/>
    <col min="16" max="16" width="7.5703125" bestFit="1" customWidth="1"/>
    <col min="18" max="18" width="10.5703125" bestFit="1" customWidth="1"/>
    <col min="19" max="19" width="11.140625" customWidth="1"/>
    <col min="20" max="20" width="10.85546875" customWidth="1"/>
    <col min="21" max="21" width="11.85546875" customWidth="1"/>
    <col min="22" max="22" width="11.28515625" customWidth="1"/>
    <col min="23" max="23" width="12.42578125" customWidth="1"/>
    <col min="24" max="24" width="12.5703125" customWidth="1"/>
    <col min="25" max="25" width="7.5703125" bestFit="1" customWidth="1"/>
    <col min="27" max="27" width="15" customWidth="1"/>
    <col min="28" max="28" width="11.28515625" customWidth="1"/>
    <col min="29" max="29" width="12.140625" customWidth="1"/>
    <col min="30" max="30" width="11.42578125" customWidth="1"/>
    <col min="31" max="31" width="11.85546875" customWidth="1"/>
    <col min="32" max="32" width="14.28515625" customWidth="1"/>
    <col min="33" max="33" width="12.42578125" customWidth="1"/>
    <col min="34" max="34" width="10.85546875" customWidth="1"/>
    <col min="36" max="36" width="11.85546875" customWidth="1"/>
    <col min="37" max="37" width="10.42578125" bestFit="1" customWidth="1"/>
    <col min="38" max="38" width="13" customWidth="1"/>
    <col min="39" max="39" width="13.28515625" bestFit="1" customWidth="1"/>
  </cols>
  <sheetData>
    <row r="1" spans="2:39">
      <c r="F1" s="129" t="s">
        <v>305</v>
      </c>
      <c r="G1" s="129"/>
      <c r="H1" s="130"/>
      <c r="I1" s="130"/>
      <c r="J1" s="129" t="s">
        <v>1</v>
      </c>
    </row>
    <row r="2" spans="2:39" ht="36">
      <c r="F2" s="131" t="s">
        <v>306</v>
      </c>
      <c r="G2" s="131" t="s">
        <v>307</v>
      </c>
      <c r="H2" s="131" t="s">
        <v>308</v>
      </c>
      <c r="I2" s="132" t="s">
        <v>309</v>
      </c>
      <c r="J2" s="132" t="s">
        <v>310</v>
      </c>
    </row>
    <row r="3" spans="2:39">
      <c r="F3" s="133" t="s">
        <v>51</v>
      </c>
      <c r="G3" s="134">
        <f>SUMIFS(O:O,C:C,F3)</f>
        <v>13625650</v>
      </c>
      <c r="H3" s="134">
        <f>SUMIFS(AC:AC,C:C,F3)</f>
        <v>21241</v>
      </c>
      <c r="I3" s="134">
        <f>SUMIFS(AJ:AJ,C:C,F3)</f>
        <v>21241</v>
      </c>
      <c r="J3" s="135">
        <f>H3-I3</f>
        <v>0</v>
      </c>
    </row>
    <row r="4" spans="2:39">
      <c r="F4" s="133" t="s">
        <v>311</v>
      </c>
      <c r="G4" s="134">
        <f>SUMIFS(O:O,C:C,F4)</f>
        <v>3073043.87</v>
      </c>
      <c r="H4" s="134">
        <f>SUMIFS(AC:AC,C:C,F4)</f>
        <v>564690</v>
      </c>
      <c r="I4" s="134">
        <f>SUMIFS(AJ:AJ,C:C,F4)</f>
        <v>465106.18902499997</v>
      </c>
      <c r="J4" s="135">
        <f>H4-I4</f>
        <v>99583.810975000029</v>
      </c>
    </row>
    <row r="5" spans="2:39">
      <c r="F5" s="133" t="s">
        <v>312</v>
      </c>
      <c r="G5" s="134">
        <f>SUMIFS(O:O,C:C,F5)</f>
        <v>7575741.3300000001</v>
      </c>
      <c r="H5" s="134">
        <f>SUMIFS(AC:AC,C:C,F5)</f>
        <v>656388.49</v>
      </c>
      <c r="I5" s="134">
        <f>SUMIFS(AJ:AJ,C:C,F5)</f>
        <v>1298288.13155</v>
      </c>
      <c r="J5" s="135">
        <f t="shared" ref="J5" si="0">H5-I5</f>
        <v>-641899.64155000006</v>
      </c>
    </row>
    <row r="6" spans="2:39">
      <c r="F6" s="136" t="s">
        <v>44</v>
      </c>
      <c r="G6" s="137">
        <f>SUM(G3:G5)</f>
        <v>24274435.200000003</v>
      </c>
      <c r="H6" s="137">
        <f>SUM(H3:H5)</f>
        <v>1242319.49</v>
      </c>
      <c r="I6" s="137">
        <f>SUM(I3:I5)</f>
        <v>1784635.320575</v>
      </c>
      <c r="J6" s="137">
        <f>SUM(J3:J5)</f>
        <v>-542315.83057500003</v>
      </c>
    </row>
    <row r="7" spans="2:39">
      <c r="S7" s="287" t="s">
        <v>56</v>
      </c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8" t="s">
        <v>57</v>
      </c>
      <c r="AG7" s="288"/>
      <c r="AH7" s="288"/>
      <c r="AI7" s="288"/>
      <c r="AJ7" s="288"/>
      <c r="AK7" s="288"/>
    </row>
    <row r="8" spans="2:39" ht="36">
      <c r="B8" s="1"/>
      <c r="C8" s="22" t="s">
        <v>3</v>
      </c>
      <c r="D8" s="22" t="s">
        <v>313</v>
      </c>
      <c r="E8" s="22" t="s">
        <v>314</v>
      </c>
      <c r="F8" s="22" t="s">
        <v>315</v>
      </c>
      <c r="G8" s="22" t="s">
        <v>266</v>
      </c>
      <c r="H8" s="23" t="s">
        <v>316</v>
      </c>
      <c r="I8" s="24" t="s">
        <v>317</v>
      </c>
      <c r="J8" s="24" t="s">
        <v>318</v>
      </c>
      <c r="K8" s="22" t="s">
        <v>319</v>
      </c>
      <c r="L8" s="22" t="s">
        <v>320</v>
      </c>
      <c r="M8" s="22" t="s">
        <v>321</v>
      </c>
      <c r="N8" s="25" t="s">
        <v>322</v>
      </c>
      <c r="O8" s="25" t="s">
        <v>323</v>
      </c>
      <c r="P8" s="26" t="s">
        <v>68</v>
      </c>
      <c r="Q8" s="27" t="s">
        <v>69</v>
      </c>
      <c r="R8" s="28" t="s">
        <v>324</v>
      </c>
      <c r="S8" s="25" t="s">
        <v>325</v>
      </c>
      <c r="T8" s="25" t="s">
        <v>326</v>
      </c>
      <c r="U8" s="25" t="s">
        <v>327</v>
      </c>
      <c r="V8" s="25" t="s">
        <v>328</v>
      </c>
      <c r="W8" s="29" t="s">
        <v>329</v>
      </c>
      <c r="X8" s="29" t="s">
        <v>330</v>
      </c>
      <c r="Y8" s="29" t="s">
        <v>331</v>
      </c>
      <c r="Z8" s="29" t="s">
        <v>332</v>
      </c>
      <c r="AA8" s="30" t="s">
        <v>333</v>
      </c>
      <c r="AB8" s="30" t="s">
        <v>334</v>
      </c>
      <c r="AC8" s="31" t="s">
        <v>335</v>
      </c>
      <c r="AD8" s="31" t="s">
        <v>336</v>
      </c>
      <c r="AE8" s="32" t="s">
        <v>21</v>
      </c>
      <c r="AF8" s="33" t="s">
        <v>337</v>
      </c>
      <c r="AG8" s="33" t="s">
        <v>338</v>
      </c>
      <c r="AH8" s="33" t="s">
        <v>339</v>
      </c>
      <c r="AI8" s="33" t="s">
        <v>340</v>
      </c>
      <c r="AJ8" s="33" t="s">
        <v>341</v>
      </c>
      <c r="AK8" s="34" t="s">
        <v>342</v>
      </c>
      <c r="AL8" s="26" t="s">
        <v>343</v>
      </c>
      <c r="AM8" s="35" t="s">
        <v>39</v>
      </c>
    </row>
    <row r="9" spans="2:39">
      <c r="B9" s="1" t="s">
        <v>40</v>
      </c>
      <c r="C9" s="36" t="s">
        <v>51</v>
      </c>
      <c r="D9" s="36" t="s">
        <v>201</v>
      </c>
      <c r="E9" s="36" t="s">
        <v>344</v>
      </c>
      <c r="F9" s="37" t="s">
        <v>345</v>
      </c>
      <c r="G9" s="110" t="s">
        <v>346</v>
      </c>
      <c r="H9" s="110" t="s">
        <v>347</v>
      </c>
      <c r="I9" s="110" t="s">
        <v>145</v>
      </c>
      <c r="J9" s="38"/>
      <c r="K9" s="39">
        <f>I9-H9</f>
        <v>119</v>
      </c>
      <c r="L9" s="40">
        <f>IF(P9="INR",90,180)</f>
        <v>180</v>
      </c>
      <c r="M9" s="40">
        <f>K9+L9</f>
        <v>299</v>
      </c>
      <c r="N9" s="41">
        <v>1448400</v>
      </c>
      <c r="O9" s="41">
        <f>N9</f>
        <v>1448400</v>
      </c>
      <c r="P9" s="41" t="s">
        <v>96</v>
      </c>
      <c r="Q9" s="42"/>
      <c r="R9" s="43">
        <f>O9*Q9</f>
        <v>0</v>
      </c>
      <c r="S9" s="41"/>
      <c r="T9" s="41"/>
      <c r="U9" s="41"/>
      <c r="V9" s="43">
        <v>1000</v>
      </c>
      <c r="W9" s="43"/>
      <c r="X9" s="43"/>
      <c r="Y9" s="43">
        <f>V9*0.18</f>
        <v>180</v>
      </c>
      <c r="Z9" s="41">
        <f>SUM(S9:Y9)</f>
        <v>1180</v>
      </c>
      <c r="AA9" s="44">
        <v>5.0000000000000001E-3</v>
      </c>
      <c r="AB9" s="44">
        <v>5.0000000000000001E-3</v>
      </c>
      <c r="AC9" s="41">
        <f>SUM(S9:X9)</f>
        <v>1000</v>
      </c>
      <c r="AD9" s="41">
        <f>SUMIFS(SAP!H:H,SAP!L:L,Charges!D9,SAP!V:V,Charges!B9)</f>
        <v>1000</v>
      </c>
      <c r="AE9" s="45">
        <f>ROUND(AC9-AD9,0)</f>
        <v>0</v>
      </c>
      <c r="AF9" s="46">
        <f>V9</f>
        <v>1000</v>
      </c>
      <c r="AG9" s="46"/>
      <c r="AH9" s="46"/>
      <c r="AI9" s="46"/>
      <c r="AJ9" s="46">
        <f t="shared" ref="AJ9:AJ25" si="1">SUM(AF9:AI9)</f>
        <v>1000</v>
      </c>
      <c r="AK9" s="47">
        <f t="shared" ref="AK9:AK15" si="2">ROUND(T9+U9+V9-AJ9+W9+X9,0)</f>
        <v>0</v>
      </c>
      <c r="AL9" s="42"/>
      <c r="AM9" s="42"/>
    </row>
    <row r="10" spans="2:39">
      <c r="B10" s="1" t="s">
        <v>40</v>
      </c>
      <c r="C10" s="36" t="s">
        <v>51</v>
      </c>
      <c r="D10" s="36" t="s">
        <v>204</v>
      </c>
      <c r="E10" s="36" t="s">
        <v>348</v>
      </c>
      <c r="F10" s="37" t="s">
        <v>349</v>
      </c>
      <c r="G10" s="110" t="s">
        <v>346</v>
      </c>
      <c r="H10" s="110" t="s">
        <v>350</v>
      </c>
      <c r="I10" s="110" t="s">
        <v>351</v>
      </c>
      <c r="J10" s="38"/>
      <c r="K10" s="39">
        <f t="shared" ref="K10:K15" si="3">I10-H10</f>
        <v>111</v>
      </c>
      <c r="L10" s="40">
        <f t="shared" ref="L10:L15" si="4">IF(P10="INR",90,180)</f>
        <v>180</v>
      </c>
      <c r="M10" s="40">
        <f t="shared" ref="M10:M15" si="5">K10+L10</f>
        <v>291</v>
      </c>
      <c r="N10" s="41">
        <v>259000</v>
      </c>
      <c r="O10" s="41">
        <f t="shared" ref="O10:O22" si="6">N10</f>
        <v>259000</v>
      </c>
      <c r="P10" s="41" t="s">
        <v>96</v>
      </c>
      <c r="Q10" s="42"/>
      <c r="R10" s="43">
        <f t="shared" ref="R10:R15" si="7">O10*Q10</f>
        <v>0</v>
      </c>
      <c r="S10" s="41"/>
      <c r="T10" s="41"/>
      <c r="U10" s="41">
        <v>1500</v>
      </c>
      <c r="V10" s="43"/>
      <c r="W10" s="43"/>
      <c r="X10" s="43"/>
      <c r="Y10" s="43">
        <f>U10*0.18</f>
        <v>270</v>
      </c>
      <c r="Z10" s="41">
        <f t="shared" ref="Z10:Z16" si="8">SUM(S10:Y10)</f>
        <v>1770</v>
      </c>
      <c r="AA10" s="44">
        <v>5.0000000000000001E-3</v>
      </c>
      <c r="AB10" s="44">
        <v>5.0000000000000001E-3</v>
      </c>
      <c r="AC10" s="41">
        <f t="shared" ref="AC10:AC16" si="9">SUM(S10:X10)</f>
        <v>1500</v>
      </c>
      <c r="AD10" s="41">
        <f>SUMIFS(SAP!H:H,SAP!L:L,Charges!D10,SAP!V:V,Charges!B10)</f>
        <v>1500</v>
      </c>
      <c r="AE10" s="45">
        <f t="shared" ref="AE10:AE16" si="10">ROUND(AC10-AD10,0)</f>
        <v>0</v>
      </c>
      <c r="AF10" s="46">
        <f>U10</f>
        <v>1500</v>
      </c>
      <c r="AG10" s="46"/>
      <c r="AH10" s="46"/>
      <c r="AI10" s="46"/>
      <c r="AJ10" s="46">
        <f t="shared" si="1"/>
        <v>1500</v>
      </c>
      <c r="AK10" s="47">
        <f t="shared" si="2"/>
        <v>0</v>
      </c>
      <c r="AL10" s="42"/>
      <c r="AM10" s="42"/>
    </row>
    <row r="11" spans="2:39">
      <c r="B11" s="1" t="s">
        <v>40</v>
      </c>
      <c r="C11" s="36" t="s">
        <v>51</v>
      </c>
      <c r="D11" s="36" t="s">
        <v>202</v>
      </c>
      <c r="E11" s="36" t="s">
        <v>352</v>
      </c>
      <c r="F11" s="37" t="s">
        <v>353</v>
      </c>
      <c r="G11" s="110" t="s">
        <v>98</v>
      </c>
      <c r="H11" s="110" t="s">
        <v>354</v>
      </c>
      <c r="I11" s="110" t="s">
        <v>351</v>
      </c>
      <c r="J11" s="38"/>
      <c r="K11" s="39">
        <f t="shared" si="3"/>
        <v>112</v>
      </c>
      <c r="L11" s="40">
        <f t="shared" si="4"/>
        <v>180</v>
      </c>
      <c r="M11" s="40">
        <f t="shared" si="5"/>
        <v>292</v>
      </c>
      <c r="N11" s="41">
        <v>599000</v>
      </c>
      <c r="O11" s="41">
        <f t="shared" si="6"/>
        <v>599000</v>
      </c>
      <c r="P11" s="41" t="s">
        <v>96</v>
      </c>
      <c r="Q11" s="42"/>
      <c r="R11" s="43">
        <f t="shared" si="7"/>
        <v>0</v>
      </c>
      <c r="S11" s="41"/>
      <c r="T11" s="41"/>
      <c r="U11" s="41">
        <v>1500</v>
      </c>
      <c r="V11" s="43"/>
      <c r="W11" s="43"/>
      <c r="X11" s="43"/>
      <c r="Y11" s="43">
        <f t="shared" ref="Y11:Y15" si="11">U11*0.18</f>
        <v>270</v>
      </c>
      <c r="Z11" s="41">
        <f t="shared" si="8"/>
        <v>1770</v>
      </c>
      <c r="AA11" s="44">
        <v>5.0000000000000001E-3</v>
      </c>
      <c r="AB11" s="44">
        <v>5.0000000000000001E-3</v>
      </c>
      <c r="AC11" s="41">
        <f t="shared" si="9"/>
        <v>1500</v>
      </c>
      <c r="AD11" s="41">
        <f>SUMIFS(SAP!H:H,SAP!L:L,Charges!D11,SAP!V:V,Charges!B11)</f>
        <v>1500</v>
      </c>
      <c r="AE11" s="45">
        <f t="shared" si="10"/>
        <v>0</v>
      </c>
      <c r="AF11" s="46">
        <f t="shared" ref="AF11:AF15" si="12">U11</f>
        <v>1500</v>
      </c>
      <c r="AG11" s="46"/>
      <c r="AH11" s="46"/>
      <c r="AI11" s="46"/>
      <c r="AJ11" s="46">
        <f t="shared" si="1"/>
        <v>1500</v>
      </c>
      <c r="AK11" s="47">
        <f t="shared" si="2"/>
        <v>0</v>
      </c>
      <c r="AL11" s="42"/>
      <c r="AM11" s="42"/>
    </row>
    <row r="12" spans="2:39">
      <c r="B12" s="1" t="s">
        <v>40</v>
      </c>
      <c r="C12" s="36" t="s">
        <v>51</v>
      </c>
      <c r="D12" s="36" t="s">
        <v>203</v>
      </c>
      <c r="E12" s="36" t="s">
        <v>355</v>
      </c>
      <c r="F12" s="37" t="s">
        <v>356</v>
      </c>
      <c r="G12" s="110" t="s">
        <v>98</v>
      </c>
      <c r="H12" s="110" t="s">
        <v>350</v>
      </c>
      <c r="I12" s="110" t="s">
        <v>351</v>
      </c>
      <c r="J12" s="38"/>
      <c r="K12" s="39">
        <f t="shared" si="3"/>
        <v>111</v>
      </c>
      <c r="L12" s="40">
        <f t="shared" si="4"/>
        <v>180</v>
      </c>
      <c r="M12" s="40">
        <f t="shared" si="5"/>
        <v>291</v>
      </c>
      <c r="N12" s="41">
        <v>69000</v>
      </c>
      <c r="O12" s="41">
        <f t="shared" si="6"/>
        <v>69000</v>
      </c>
      <c r="P12" s="41" t="s">
        <v>96</v>
      </c>
      <c r="Q12" s="42"/>
      <c r="R12" s="43">
        <f t="shared" si="7"/>
        <v>0</v>
      </c>
      <c r="S12" s="41"/>
      <c r="T12" s="41"/>
      <c r="U12" s="41"/>
      <c r="V12" s="43"/>
      <c r="W12" s="43">
        <v>1500</v>
      </c>
      <c r="X12" s="43"/>
      <c r="Y12" s="43">
        <f>W12*0.18</f>
        <v>270</v>
      </c>
      <c r="Z12" s="41">
        <f t="shared" si="8"/>
        <v>1770</v>
      </c>
      <c r="AA12" s="44">
        <v>5.0000000000000001E-3</v>
      </c>
      <c r="AB12" s="44">
        <v>5.0000000000000001E-3</v>
      </c>
      <c r="AC12" s="41">
        <f t="shared" si="9"/>
        <v>1500</v>
      </c>
      <c r="AD12" s="41">
        <f>SUMIFS(SAP!H:H,SAP!L:L,Charges!D12,SAP!V:V,Charges!B12)</f>
        <v>1500</v>
      </c>
      <c r="AE12" s="45">
        <f t="shared" si="10"/>
        <v>0</v>
      </c>
      <c r="AF12" s="46">
        <f t="shared" si="12"/>
        <v>0</v>
      </c>
      <c r="AG12" s="46"/>
      <c r="AH12" s="46"/>
      <c r="AI12" s="46">
        <v>1500</v>
      </c>
      <c r="AJ12" s="46">
        <f t="shared" si="1"/>
        <v>1500</v>
      </c>
      <c r="AK12" s="47">
        <f t="shared" si="2"/>
        <v>0</v>
      </c>
      <c r="AL12" s="42"/>
      <c r="AM12" s="42"/>
    </row>
    <row r="13" spans="2:39">
      <c r="B13" s="1" t="s">
        <v>40</v>
      </c>
      <c r="C13" s="36" t="s">
        <v>51</v>
      </c>
      <c r="D13" s="36" t="s">
        <v>205</v>
      </c>
      <c r="E13" s="36" t="s">
        <v>357</v>
      </c>
      <c r="F13" s="37" t="s">
        <v>358</v>
      </c>
      <c r="G13" s="110" t="s">
        <v>103</v>
      </c>
      <c r="H13" s="110" t="s">
        <v>359</v>
      </c>
      <c r="I13" s="110" t="s">
        <v>351</v>
      </c>
      <c r="J13" s="38"/>
      <c r="K13" s="39">
        <f t="shared" si="3"/>
        <v>102</v>
      </c>
      <c r="L13" s="40">
        <f t="shared" si="4"/>
        <v>180</v>
      </c>
      <c r="M13" s="40">
        <f t="shared" si="5"/>
        <v>282</v>
      </c>
      <c r="N13" s="41">
        <v>735000</v>
      </c>
      <c r="O13" s="41">
        <f t="shared" si="6"/>
        <v>735000</v>
      </c>
      <c r="P13" s="41" t="s">
        <v>96</v>
      </c>
      <c r="Q13" s="42"/>
      <c r="R13" s="43">
        <f t="shared" si="7"/>
        <v>0</v>
      </c>
      <c r="S13" s="41"/>
      <c r="T13" s="41"/>
      <c r="U13" s="41">
        <v>1500</v>
      </c>
      <c r="V13" s="43"/>
      <c r="W13" s="43"/>
      <c r="X13" s="43"/>
      <c r="Y13" s="43">
        <f t="shared" si="11"/>
        <v>270</v>
      </c>
      <c r="Z13" s="41">
        <f t="shared" si="8"/>
        <v>1770</v>
      </c>
      <c r="AA13" s="44">
        <v>5.0000000000000001E-3</v>
      </c>
      <c r="AB13" s="44">
        <v>5.0000000000000001E-3</v>
      </c>
      <c r="AC13" s="41">
        <f t="shared" si="9"/>
        <v>1500</v>
      </c>
      <c r="AD13" s="41">
        <f>SUMIFS(SAP!H:H,SAP!L:L,Charges!D13,SAP!V:V,Charges!B13)</f>
        <v>1500</v>
      </c>
      <c r="AE13" s="45">
        <f t="shared" si="10"/>
        <v>0</v>
      </c>
      <c r="AF13" s="46">
        <f t="shared" si="12"/>
        <v>1500</v>
      </c>
      <c r="AG13" s="46"/>
      <c r="AH13" s="46"/>
      <c r="AI13" s="46"/>
      <c r="AJ13" s="46">
        <f t="shared" si="1"/>
        <v>1500</v>
      </c>
      <c r="AK13" s="47">
        <f t="shared" si="2"/>
        <v>0</v>
      </c>
      <c r="AL13" s="42"/>
      <c r="AM13" s="42"/>
    </row>
    <row r="14" spans="2:39">
      <c r="B14" s="1" t="s">
        <v>40</v>
      </c>
      <c r="C14" s="36" t="s">
        <v>51</v>
      </c>
      <c r="D14" s="36" t="s">
        <v>206</v>
      </c>
      <c r="E14" s="36" t="s">
        <v>360</v>
      </c>
      <c r="F14" s="37" t="s">
        <v>361</v>
      </c>
      <c r="G14" s="110" t="s">
        <v>155</v>
      </c>
      <c r="H14" s="110" t="s">
        <v>362</v>
      </c>
      <c r="I14" s="110" t="s">
        <v>363</v>
      </c>
      <c r="J14" s="38"/>
      <c r="K14" s="39">
        <f t="shared" si="3"/>
        <v>141</v>
      </c>
      <c r="L14" s="40">
        <f t="shared" si="4"/>
        <v>180</v>
      </c>
      <c r="M14" s="40">
        <f t="shared" si="5"/>
        <v>321</v>
      </c>
      <c r="N14" s="41">
        <v>1879000</v>
      </c>
      <c r="O14" s="41">
        <f t="shared" si="6"/>
        <v>1879000</v>
      </c>
      <c r="P14" s="41" t="s">
        <v>96</v>
      </c>
      <c r="Q14" s="42"/>
      <c r="R14" s="43">
        <f t="shared" si="7"/>
        <v>0</v>
      </c>
      <c r="S14" s="41"/>
      <c r="T14" s="41"/>
      <c r="U14" s="41">
        <v>1500</v>
      </c>
      <c r="V14" s="43"/>
      <c r="W14" s="43"/>
      <c r="X14" s="43"/>
      <c r="Y14" s="43">
        <f t="shared" si="11"/>
        <v>270</v>
      </c>
      <c r="Z14" s="41">
        <f t="shared" si="8"/>
        <v>1770</v>
      </c>
      <c r="AA14" s="44">
        <v>5.0000000000000001E-3</v>
      </c>
      <c r="AB14" s="44">
        <v>5.0000000000000001E-3</v>
      </c>
      <c r="AC14" s="41">
        <f t="shared" si="9"/>
        <v>1500</v>
      </c>
      <c r="AD14" s="41">
        <f>SUMIFS(SAP!H:H,SAP!L:L,Charges!D14,SAP!V:V,Charges!B14)</f>
        <v>1500</v>
      </c>
      <c r="AE14" s="45">
        <f t="shared" si="10"/>
        <v>0</v>
      </c>
      <c r="AF14" s="46">
        <f t="shared" si="12"/>
        <v>1500</v>
      </c>
      <c r="AG14" s="46"/>
      <c r="AH14" s="46"/>
      <c r="AI14" s="46"/>
      <c r="AJ14" s="46">
        <f t="shared" si="1"/>
        <v>1500</v>
      </c>
      <c r="AK14" s="47">
        <f t="shared" si="2"/>
        <v>0</v>
      </c>
      <c r="AL14" s="42"/>
      <c r="AM14" s="42"/>
    </row>
    <row r="15" spans="2:39">
      <c r="B15" s="1" t="s">
        <v>40</v>
      </c>
      <c r="C15" s="36" t="s">
        <v>51</v>
      </c>
      <c r="D15" s="36" t="s">
        <v>207</v>
      </c>
      <c r="E15" s="36" t="s">
        <v>364</v>
      </c>
      <c r="F15" s="37" t="s">
        <v>365</v>
      </c>
      <c r="G15" s="110" t="s">
        <v>366</v>
      </c>
      <c r="H15" s="110" t="s">
        <v>162</v>
      </c>
      <c r="I15" s="110" t="s">
        <v>367</v>
      </c>
      <c r="J15" s="38"/>
      <c r="K15" s="39">
        <f t="shared" si="3"/>
        <v>125</v>
      </c>
      <c r="L15" s="40">
        <f t="shared" si="4"/>
        <v>180</v>
      </c>
      <c r="M15" s="40">
        <f t="shared" si="5"/>
        <v>305</v>
      </c>
      <c r="N15" s="41">
        <v>1991250</v>
      </c>
      <c r="O15" s="41">
        <f t="shared" si="6"/>
        <v>1991250</v>
      </c>
      <c r="P15" s="41" t="s">
        <v>96</v>
      </c>
      <c r="Q15" s="42"/>
      <c r="R15" s="43">
        <f t="shared" si="7"/>
        <v>0</v>
      </c>
      <c r="S15" s="41"/>
      <c r="T15" s="41"/>
      <c r="U15" s="41">
        <v>1500</v>
      </c>
      <c r="V15" s="43"/>
      <c r="W15" s="43"/>
      <c r="X15" s="43"/>
      <c r="Y15" s="43">
        <f t="shared" si="11"/>
        <v>270</v>
      </c>
      <c r="Z15" s="41">
        <f t="shared" si="8"/>
        <v>1770</v>
      </c>
      <c r="AA15" s="44">
        <v>5.0000000000000001E-3</v>
      </c>
      <c r="AB15" s="44">
        <v>5.0000000000000001E-3</v>
      </c>
      <c r="AC15" s="41">
        <f t="shared" si="9"/>
        <v>1500</v>
      </c>
      <c r="AD15" s="41">
        <f>SUMIFS(SAP!H:H,SAP!L:L,Charges!D15,SAP!V:V,Charges!B15)</f>
        <v>1500</v>
      </c>
      <c r="AE15" s="45">
        <f t="shared" si="10"/>
        <v>0</v>
      </c>
      <c r="AF15" s="46">
        <f t="shared" si="12"/>
        <v>1500</v>
      </c>
      <c r="AG15" s="46"/>
      <c r="AH15" s="46"/>
      <c r="AI15" s="46"/>
      <c r="AJ15" s="46">
        <f t="shared" si="1"/>
        <v>1500</v>
      </c>
      <c r="AK15" s="47">
        <f t="shared" si="2"/>
        <v>0</v>
      </c>
      <c r="AL15" s="42"/>
      <c r="AM15" s="42"/>
    </row>
    <row r="16" spans="2:39">
      <c r="B16" s="1"/>
      <c r="C16" s="36" t="s">
        <v>51</v>
      </c>
      <c r="D16" s="36" t="s">
        <v>262</v>
      </c>
      <c r="E16" s="36"/>
      <c r="F16" s="37" t="s">
        <v>12</v>
      </c>
      <c r="G16" s="110">
        <v>46129</v>
      </c>
      <c r="H16" s="110">
        <v>46129</v>
      </c>
      <c r="I16" s="110">
        <v>46157</v>
      </c>
      <c r="J16" s="38"/>
      <c r="K16" s="39">
        <f t="shared" ref="K16" si="13">I16-H16</f>
        <v>28</v>
      </c>
      <c r="L16" s="40">
        <f t="shared" ref="L16" si="14">IF(P16="INR",90,180)</f>
        <v>90</v>
      </c>
      <c r="M16" s="40">
        <f t="shared" ref="M16" si="15">K16+L16</f>
        <v>118</v>
      </c>
      <c r="N16" s="41">
        <v>6645000</v>
      </c>
      <c r="O16" s="41">
        <v>6645000</v>
      </c>
      <c r="P16" s="41" t="s">
        <v>193</v>
      </c>
      <c r="Q16" s="42"/>
      <c r="R16" s="41">
        <v>6645000</v>
      </c>
      <c r="S16" s="41">
        <v>10741</v>
      </c>
      <c r="T16" s="41"/>
      <c r="U16" s="41"/>
      <c r="V16" s="43"/>
      <c r="W16" s="43"/>
      <c r="X16" s="43">
        <v>500</v>
      </c>
      <c r="Y16" s="43">
        <f>S16*0.18+X16*0.18</f>
        <v>2023.3799999999999</v>
      </c>
      <c r="Z16" s="41">
        <f t="shared" si="8"/>
        <v>13264.38</v>
      </c>
      <c r="AA16" s="44">
        <v>5.0000000000000001E-3</v>
      </c>
      <c r="AB16" s="44"/>
      <c r="AC16" s="41">
        <f t="shared" si="9"/>
        <v>11241</v>
      </c>
      <c r="AD16" s="41">
        <f>SUMIFS(SAP!H:H,SAP!L:L,Charges!D16,SAP!V:V,"2027/01")</f>
        <v>11241</v>
      </c>
      <c r="AE16" s="45">
        <f t="shared" si="10"/>
        <v>0</v>
      </c>
      <c r="AF16" s="46">
        <f>S16</f>
        <v>10741</v>
      </c>
      <c r="AG16" s="46"/>
      <c r="AH16" s="46">
        <f>X16</f>
        <v>500</v>
      </c>
      <c r="AI16" s="46"/>
      <c r="AJ16" s="46">
        <f t="shared" si="1"/>
        <v>11241</v>
      </c>
      <c r="AK16" s="47">
        <f>ROUND(T16+U16+V16-AJ16+W16+X16+S16,0)</f>
        <v>0</v>
      </c>
      <c r="AL16" s="42"/>
      <c r="AM16" s="42"/>
    </row>
    <row r="17" spans="2:39">
      <c r="B17" s="1" t="s">
        <v>40</v>
      </c>
      <c r="C17" s="36" t="s">
        <v>368</v>
      </c>
      <c r="D17" s="36" t="s">
        <v>369</v>
      </c>
      <c r="E17" s="36"/>
      <c r="F17" s="37" t="s">
        <v>370</v>
      </c>
      <c r="G17" s="110">
        <v>46133</v>
      </c>
      <c r="H17" s="110"/>
      <c r="I17" s="110"/>
      <c r="J17" s="38"/>
      <c r="K17" s="39">
        <f t="shared" ref="K17:K24" si="16">I17-H17</f>
        <v>0</v>
      </c>
      <c r="L17" s="40">
        <f t="shared" ref="L17:L24" si="17">IF(P17="INR",90,180)</f>
        <v>180</v>
      </c>
      <c r="M17" s="40">
        <f t="shared" ref="M17:M24" si="18">K17+L17</f>
        <v>180</v>
      </c>
      <c r="N17" s="41">
        <v>600899.22</v>
      </c>
      <c r="O17" s="41">
        <f t="shared" si="6"/>
        <v>600899.22</v>
      </c>
      <c r="P17" s="41" t="s">
        <v>371</v>
      </c>
      <c r="Q17" s="42"/>
      <c r="R17" s="43">
        <f t="shared" ref="R17:R23" si="19">O17*Q17</f>
        <v>0</v>
      </c>
      <c r="S17" s="41"/>
      <c r="T17" s="41"/>
      <c r="U17" s="41"/>
      <c r="V17" s="43"/>
      <c r="W17" s="43"/>
      <c r="X17" s="43">
        <v>550</v>
      </c>
      <c r="Y17" s="43">
        <v>99</v>
      </c>
      <c r="Z17" s="41">
        <f t="shared" ref="Z17:Z24" si="20">SUM(S17:Y17)</f>
        <v>649</v>
      </c>
      <c r="AA17" s="44">
        <v>5.0000000000000001E-3</v>
      </c>
      <c r="AB17" s="44"/>
      <c r="AC17" s="41">
        <f t="shared" ref="AC17:AC22" si="21">SUM(S17:X17)</f>
        <v>550</v>
      </c>
      <c r="AD17" s="41">
        <f>SUMIFS(SAP!H:H,SAP!L:L,Charges!D17,SAP!V:V,Charges!B17)</f>
        <v>550</v>
      </c>
      <c r="AE17" s="45">
        <f t="shared" ref="AE17:AE22" si="22">ROUND(AC17-AD17,0)</f>
        <v>0</v>
      </c>
      <c r="AF17" s="46">
        <v>0</v>
      </c>
      <c r="AG17" s="46"/>
      <c r="AH17" s="46">
        <f>X17</f>
        <v>550</v>
      </c>
      <c r="AI17" s="46"/>
      <c r="AJ17" s="46">
        <f t="shared" si="1"/>
        <v>550</v>
      </c>
      <c r="AK17" s="47">
        <f t="shared" ref="AK17:AK22" si="23">ROUND(T17+U17+V17-AJ17+W17+X17,0)</f>
        <v>0</v>
      </c>
      <c r="AL17" s="42"/>
      <c r="AM17" s="42"/>
    </row>
    <row r="18" spans="2:39">
      <c r="B18" s="1" t="s">
        <v>40</v>
      </c>
      <c r="C18" s="36" t="s">
        <v>368</v>
      </c>
      <c r="D18" s="36" t="s">
        <v>372</v>
      </c>
      <c r="E18" s="36"/>
      <c r="F18" s="37" t="s">
        <v>373</v>
      </c>
      <c r="G18" s="110">
        <v>46133</v>
      </c>
      <c r="H18" s="110"/>
      <c r="I18" s="110"/>
      <c r="J18" s="38"/>
      <c r="K18" s="39">
        <f t="shared" si="16"/>
        <v>0</v>
      </c>
      <c r="L18" s="40">
        <f t="shared" si="17"/>
        <v>180</v>
      </c>
      <c r="M18" s="40">
        <f t="shared" si="18"/>
        <v>180</v>
      </c>
      <c r="N18" s="41">
        <v>305150.74</v>
      </c>
      <c r="O18" s="41">
        <f t="shared" si="6"/>
        <v>305150.74</v>
      </c>
      <c r="P18" s="41" t="s">
        <v>371</v>
      </c>
      <c r="Q18" s="42"/>
      <c r="R18" s="43">
        <f t="shared" si="19"/>
        <v>0</v>
      </c>
      <c r="S18" s="41"/>
      <c r="T18" s="41"/>
      <c r="U18" s="41"/>
      <c r="V18" s="43"/>
      <c r="W18" s="43"/>
      <c r="X18" s="43">
        <v>550</v>
      </c>
      <c r="Y18" s="43">
        <v>99</v>
      </c>
      <c r="Z18" s="41">
        <f t="shared" si="20"/>
        <v>649</v>
      </c>
      <c r="AA18" s="44">
        <v>5.0000000000000001E-3</v>
      </c>
      <c r="AB18" s="44"/>
      <c r="AC18" s="41">
        <f t="shared" si="21"/>
        <v>550</v>
      </c>
      <c r="AD18" s="41">
        <f>SUMIFS(SAP!H:H,SAP!L:L,Charges!D18,SAP!V:V,Charges!B18)</f>
        <v>550</v>
      </c>
      <c r="AE18" s="45">
        <f t="shared" si="22"/>
        <v>0</v>
      </c>
      <c r="AF18" s="46">
        <v>0</v>
      </c>
      <c r="AG18" s="46"/>
      <c r="AH18" s="46">
        <f t="shared" ref="AH18:AH19" si="24">X18</f>
        <v>550</v>
      </c>
      <c r="AI18" s="46"/>
      <c r="AJ18" s="46">
        <f t="shared" si="1"/>
        <v>550</v>
      </c>
      <c r="AK18" s="47">
        <f t="shared" si="23"/>
        <v>0</v>
      </c>
      <c r="AL18" s="42"/>
      <c r="AM18" s="42"/>
    </row>
    <row r="19" spans="2:39">
      <c r="B19" s="1" t="s">
        <v>40</v>
      </c>
      <c r="C19" s="36" t="s">
        <v>368</v>
      </c>
      <c r="D19" s="36" t="s">
        <v>374</v>
      </c>
      <c r="E19" s="36"/>
      <c r="F19" s="37" t="s">
        <v>373</v>
      </c>
      <c r="G19" s="110">
        <v>46142</v>
      </c>
      <c r="H19" s="110"/>
      <c r="I19" s="110"/>
      <c r="J19" s="110"/>
      <c r="K19" s="39">
        <f t="shared" si="16"/>
        <v>0</v>
      </c>
      <c r="L19" s="40">
        <f t="shared" si="17"/>
        <v>180</v>
      </c>
      <c r="M19" s="40">
        <f t="shared" si="18"/>
        <v>180</v>
      </c>
      <c r="N19" s="41">
        <v>342714.41</v>
      </c>
      <c r="O19" s="41">
        <f t="shared" si="6"/>
        <v>342714.41</v>
      </c>
      <c r="P19" s="41" t="s">
        <v>371</v>
      </c>
      <c r="Q19" s="42"/>
      <c r="R19" s="43">
        <f t="shared" si="19"/>
        <v>0</v>
      </c>
      <c r="S19" s="41"/>
      <c r="T19" s="41"/>
      <c r="U19" s="41"/>
      <c r="V19" s="43"/>
      <c r="W19" s="43"/>
      <c r="X19" s="43">
        <v>550</v>
      </c>
      <c r="Y19" s="43">
        <v>99</v>
      </c>
      <c r="Z19" s="41">
        <f t="shared" si="20"/>
        <v>649</v>
      </c>
      <c r="AA19" s="44">
        <v>5.0000000000000001E-3</v>
      </c>
      <c r="AB19" s="44"/>
      <c r="AC19" s="41">
        <f t="shared" si="21"/>
        <v>550</v>
      </c>
      <c r="AD19" s="41">
        <f>SUMIFS(SAP!H:H,SAP!L:L,Charges!D19,SAP!V:V,Charges!B19)</f>
        <v>550</v>
      </c>
      <c r="AE19" s="45">
        <f t="shared" si="22"/>
        <v>0</v>
      </c>
      <c r="AF19" s="46">
        <v>0</v>
      </c>
      <c r="AG19" s="46"/>
      <c r="AH19" s="46">
        <f t="shared" si="24"/>
        <v>550</v>
      </c>
      <c r="AI19" s="46"/>
      <c r="AJ19" s="46">
        <f t="shared" si="1"/>
        <v>550</v>
      </c>
      <c r="AK19" s="47">
        <f t="shared" si="23"/>
        <v>0</v>
      </c>
      <c r="AL19" s="42"/>
      <c r="AM19" s="42"/>
    </row>
    <row r="20" spans="2:39">
      <c r="B20" s="1" t="s">
        <v>40</v>
      </c>
      <c r="C20" s="36" t="s">
        <v>368</v>
      </c>
      <c r="D20" s="36" t="s">
        <v>375</v>
      </c>
      <c r="E20" s="36"/>
      <c r="F20" s="37" t="s">
        <v>370</v>
      </c>
      <c r="G20" s="110">
        <v>46121</v>
      </c>
      <c r="H20" s="110">
        <v>46121</v>
      </c>
      <c r="I20" s="110"/>
      <c r="J20" s="110">
        <v>46128</v>
      </c>
      <c r="K20" s="39"/>
      <c r="L20" s="40">
        <f t="shared" si="17"/>
        <v>180</v>
      </c>
      <c r="M20" s="40">
        <f t="shared" si="18"/>
        <v>180</v>
      </c>
      <c r="N20" s="41">
        <v>1625000</v>
      </c>
      <c r="O20" s="41">
        <v>1824279.5</v>
      </c>
      <c r="P20" s="41" t="s">
        <v>371</v>
      </c>
      <c r="Q20" s="42">
        <v>93.58</v>
      </c>
      <c r="R20" s="43">
        <f t="shared" si="19"/>
        <v>170716075.60999998</v>
      </c>
      <c r="S20" s="41"/>
      <c r="T20" s="41">
        <v>426790</v>
      </c>
      <c r="U20" s="41">
        <v>99584</v>
      </c>
      <c r="V20" s="43">
        <v>35566</v>
      </c>
      <c r="W20" s="43"/>
      <c r="X20" s="43">
        <f>550*2</f>
        <v>1100</v>
      </c>
      <c r="Y20" s="43">
        <f>17925+76822+99</f>
        <v>94846</v>
      </c>
      <c r="Z20" s="41">
        <f t="shared" si="20"/>
        <v>657886</v>
      </c>
      <c r="AA20" s="44">
        <v>5.0000000000000001E-3</v>
      </c>
      <c r="AB20" s="44">
        <v>1E-3</v>
      </c>
      <c r="AC20" s="41">
        <f t="shared" si="21"/>
        <v>563040</v>
      </c>
      <c r="AD20" s="41">
        <f>SUMIFS(SAP!H:H,SAP!L:L,Charges!D20,SAP!V:V,Charges!B20)</f>
        <v>563039.81999999995</v>
      </c>
      <c r="AE20" s="45">
        <f t="shared" si="22"/>
        <v>0</v>
      </c>
      <c r="AF20" s="46">
        <f>(R20*AA20*M20/360)+V20</f>
        <v>462356.18902499997</v>
      </c>
      <c r="AG20" s="46"/>
      <c r="AH20" s="46">
        <f>X20</f>
        <v>1100</v>
      </c>
      <c r="AI20" s="46"/>
      <c r="AJ20" s="46">
        <f t="shared" si="1"/>
        <v>463456.18902499997</v>
      </c>
      <c r="AK20" s="213">
        <f t="shared" si="23"/>
        <v>99584</v>
      </c>
      <c r="AL20" s="42"/>
      <c r="AM20" s="42"/>
    </row>
    <row r="21" spans="2:39">
      <c r="B21" s="1" t="s">
        <v>40</v>
      </c>
      <c r="C21" s="36" t="s">
        <v>312</v>
      </c>
      <c r="D21" s="36" t="s">
        <v>376</v>
      </c>
      <c r="E21" s="36"/>
      <c r="F21" s="37" t="s">
        <v>373</v>
      </c>
      <c r="G21" s="110">
        <v>46140</v>
      </c>
      <c r="H21" s="110">
        <v>46140</v>
      </c>
      <c r="I21" s="110">
        <v>46294</v>
      </c>
      <c r="J21" s="110"/>
      <c r="K21" s="39">
        <f t="shared" si="16"/>
        <v>154</v>
      </c>
      <c r="L21" s="40">
        <f t="shared" si="17"/>
        <v>180</v>
      </c>
      <c r="M21" s="40">
        <f t="shared" si="18"/>
        <v>334</v>
      </c>
      <c r="N21" s="41">
        <v>1756215.9</v>
      </c>
      <c r="O21" s="41">
        <f t="shared" si="6"/>
        <v>1756215.9</v>
      </c>
      <c r="P21" s="41" t="s">
        <v>371</v>
      </c>
      <c r="Q21" s="42"/>
      <c r="R21" s="43">
        <f t="shared" si="19"/>
        <v>0</v>
      </c>
      <c r="S21" s="41"/>
      <c r="T21" s="41"/>
      <c r="U21" s="41"/>
      <c r="V21" s="43"/>
      <c r="W21" s="43"/>
      <c r="X21" s="43">
        <v>1000</v>
      </c>
      <c r="Y21" s="43">
        <v>180</v>
      </c>
      <c r="Z21" s="41">
        <f t="shared" si="20"/>
        <v>1180</v>
      </c>
      <c r="AA21" s="44">
        <v>5.0000000000000001E-3</v>
      </c>
      <c r="AB21" s="44"/>
      <c r="AC21" s="41">
        <f t="shared" si="21"/>
        <v>1000</v>
      </c>
      <c r="AD21" s="41">
        <f>SUMIFS(SAP!H:H,SAP!M:M,Charges!D21,SAP!V:V,Charges!B21)</f>
        <v>1000</v>
      </c>
      <c r="AE21" s="45">
        <f t="shared" si="22"/>
        <v>0</v>
      </c>
      <c r="AF21" s="46">
        <v>0</v>
      </c>
      <c r="AG21" s="46"/>
      <c r="AH21" s="46">
        <f t="shared" ref="AH21:AH25" si="25">X21</f>
        <v>1000</v>
      </c>
      <c r="AI21" s="46"/>
      <c r="AJ21" s="46">
        <f t="shared" si="1"/>
        <v>1000</v>
      </c>
      <c r="AK21" s="47">
        <f t="shared" si="23"/>
        <v>0</v>
      </c>
      <c r="AL21" s="42"/>
      <c r="AM21" s="42"/>
    </row>
    <row r="22" spans="2:39">
      <c r="B22" s="1" t="s">
        <v>40</v>
      </c>
      <c r="C22" s="36" t="s">
        <v>312</v>
      </c>
      <c r="D22" s="36" t="s">
        <v>377</v>
      </c>
      <c r="E22" s="36"/>
      <c r="F22" s="37" t="s">
        <v>373</v>
      </c>
      <c r="G22" s="110">
        <v>46133</v>
      </c>
      <c r="H22" s="110">
        <v>46133</v>
      </c>
      <c r="I22" s="110">
        <v>46294</v>
      </c>
      <c r="J22" s="110"/>
      <c r="K22" s="39">
        <f t="shared" si="16"/>
        <v>161</v>
      </c>
      <c r="L22" s="40">
        <f t="shared" si="17"/>
        <v>180</v>
      </c>
      <c r="M22" s="40">
        <f t="shared" si="18"/>
        <v>341</v>
      </c>
      <c r="N22" s="41">
        <v>2316248.25</v>
      </c>
      <c r="O22" s="41">
        <f t="shared" si="6"/>
        <v>2316248.25</v>
      </c>
      <c r="P22" s="41" t="s">
        <v>371</v>
      </c>
      <c r="Q22" s="42"/>
      <c r="R22" s="43">
        <f t="shared" si="19"/>
        <v>0</v>
      </c>
      <c r="S22" s="41"/>
      <c r="T22" s="41"/>
      <c r="U22" s="41"/>
      <c r="V22" s="43"/>
      <c r="W22" s="43"/>
      <c r="X22" s="43">
        <v>1000</v>
      </c>
      <c r="Y22" s="43">
        <v>180</v>
      </c>
      <c r="Z22" s="41">
        <f t="shared" si="20"/>
        <v>1180</v>
      </c>
      <c r="AA22" s="44">
        <v>5.0000000000000001E-3</v>
      </c>
      <c r="AB22" s="44"/>
      <c r="AC22" s="41">
        <f t="shared" si="21"/>
        <v>1000</v>
      </c>
      <c r="AD22" s="41">
        <f>SUMIFS(SAP!H:H,SAP!M:M,Charges!D22,SAP!V:V,Charges!B22)</f>
        <v>1000</v>
      </c>
      <c r="AE22" s="45">
        <f t="shared" si="22"/>
        <v>0</v>
      </c>
      <c r="AF22" s="46">
        <v>0</v>
      </c>
      <c r="AG22" s="46"/>
      <c r="AH22" s="46">
        <f t="shared" si="25"/>
        <v>1000</v>
      </c>
      <c r="AI22" s="46"/>
      <c r="AJ22" s="46">
        <f t="shared" si="1"/>
        <v>1000</v>
      </c>
      <c r="AK22" s="47">
        <f t="shared" si="23"/>
        <v>0</v>
      </c>
      <c r="AL22" s="42"/>
      <c r="AM22" s="42"/>
    </row>
    <row r="23" spans="2:39">
      <c r="B23" s="1" t="s">
        <v>40</v>
      </c>
      <c r="C23" s="36" t="s">
        <v>312</v>
      </c>
      <c r="D23" s="36" t="s">
        <v>378</v>
      </c>
      <c r="E23" s="36"/>
      <c r="F23" s="37" t="s">
        <v>370</v>
      </c>
      <c r="G23" s="110">
        <v>46118</v>
      </c>
      <c r="H23" s="110">
        <v>46118</v>
      </c>
      <c r="I23" s="110">
        <v>46163</v>
      </c>
      <c r="J23" s="110"/>
      <c r="K23" s="39">
        <f t="shared" si="16"/>
        <v>45</v>
      </c>
      <c r="L23" s="40">
        <f t="shared" si="17"/>
        <v>180</v>
      </c>
      <c r="M23" s="40">
        <f t="shared" si="18"/>
        <v>225</v>
      </c>
      <c r="N23" s="41">
        <v>1040000</v>
      </c>
      <c r="O23" s="41">
        <v>1167759.06</v>
      </c>
      <c r="P23" s="41" t="s">
        <v>371</v>
      </c>
      <c r="Q23" s="42">
        <v>93.25</v>
      </c>
      <c r="R23" s="43">
        <f t="shared" si="19"/>
        <v>108893532.345</v>
      </c>
      <c r="S23" s="41"/>
      <c r="T23" s="41">
        <v>187837.2</v>
      </c>
      <c r="U23" s="41">
        <v>46959.09</v>
      </c>
      <c r="V23" s="180"/>
      <c r="W23" s="43"/>
      <c r="X23" s="43">
        <v>2500</v>
      </c>
      <c r="Y23" s="43">
        <f>33810.7+8452.64+450</f>
        <v>42713.34</v>
      </c>
      <c r="Z23" s="41">
        <f t="shared" si="20"/>
        <v>280009.63</v>
      </c>
      <c r="AA23" s="44">
        <v>5.0000000000000001E-3</v>
      </c>
      <c r="AB23" s="44">
        <v>1E-3</v>
      </c>
      <c r="AC23" s="41">
        <f>SUM(S23:X23)</f>
        <v>237296.29</v>
      </c>
      <c r="AD23" s="215">
        <f>SUMIFS(SAP!H:H,SAP!M:M,Charges!D23,SAP!V:V,Charges!B23)</f>
        <v>237296.29</v>
      </c>
      <c r="AE23" s="217">
        <f>ROUND(AC23-AD23,0)</f>
        <v>0</v>
      </c>
      <c r="AF23" s="46">
        <f>K32</f>
        <v>331230.69589999999</v>
      </c>
      <c r="AG23" s="46">
        <f>K36</f>
        <v>99365.347949999996</v>
      </c>
      <c r="AH23" s="46">
        <f t="shared" si="25"/>
        <v>2500</v>
      </c>
      <c r="AI23" s="46"/>
      <c r="AJ23" s="46">
        <f t="shared" si="1"/>
        <v>433096.04385000002</v>
      </c>
      <c r="AK23" s="211">
        <f>AC23-AJ23</f>
        <v>-195799.75385000001</v>
      </c>
      <c r="AL23" s="42"/>
      <c r="AM23" s="42"/>
    </row>
    <row r="24" spans="2:39">
      <c r="B24" s="1" t="s">
        <v>40</v>
      </c>
      <c r="C24" s="36" t="s">
        <v>312</v>
      </c>
      <c r="D24" s="36" t="s">
        <v>379</v>
      </c>
      <c r="E24" s="36"/>
      <c r="F24" s="37" t="s">
        <v>370</v>
      </c>
      <c r="G24" s="110">
        <v>46118</v>
      </c>
      <c r="H24" s="110">
        <v>46118</v>
      </c>
      <c r="I24" s="110">
        <v>46163</v>
      </c>
      <c r="J24" s="110">
        <v>46130</v>
      </c>
      <c r="K24" s="39">
        <f t="shared" si="16"/>
        <v>45</v>
      </c>
      <c r="L24" s="40">
        <f t="shared" si="17"/>
        <v>180</v>
      </c>
      <c r="M24" s="40">
        <f t="shared" si="18"/>
        <v>225</v>
      </c>
      <c r="N24" s="41">
        <v>1040000</v>
      </c>
      <c r="O24" s="41">
        <v>1167759.06</v>
      </c>
      <c r="P24" s="41" t="s">
        <v>371</v>
      </c>
      <c r="Q24" s="42">
        <v>93.25</v>
      </c>
      <c r="R24" s="43">
        <f t="shared" ref="R24:R25" si="26">O24*Q24</f>
        <v>108893532.345</v>
      </c>
      <c r="S24" s="41"/>
      <c r="T24" s="41">
        <v>242165.89</v>
      </c>
      <c r="U24" s="209">
        <v>60541.47</v>
      </c>
      <c r="V24" s="208"/>
      <c r="W24" s="210"/>
      <c r="X24" s="43">
        <v>1000</v>
      </c>
      <c r="Y24" s="43">
        <f>180+43589.86+10897.46</f>
        <v>54667.32</v>
      </c>
      <c r="Z24" s="41">
        <f t="shared" si="20"/>
        <v>358374.68</v>
      </c>
      <c r="AA24" s="44">
        <v>5.0000000000000001E-3</v>
      </c>
      <c r="AB24" s="44">
        <v>1E-3</v>
      </c>
      <c r="AC24" s="41">
        <f>SUM(S24:X24)</f>
        <v>303707.36</v>
      </c>
      <c r="AD24" s="216">
        <f>SUMIFS(SAP!H:H,SAP!M:M,Charges!D24,SAP!V:V,Charges!B24)</f>
        <v>303707.36</v>
      </c>
      <c r="AE24" s="217">
        <f>ROUND(AC24-AD24,0)</f>
        <v>0</v>
      </c>
      <c r="AF24" s="46">
        <f>K32</f>
        <v>331230.69589999999</v>
      </c>
      <c r="AG24" s="46">
        <f>K36</f>
        <v>99365.347949999996</v>
      </c>
      <c r="AH24" s="46">
        <f t="shared" si="25"/>
        <v>1000</v>
      </c>
      <c r="AI24" s="46"/>
      <c r="AJ24" s="46">
        <f t="shared" si="1"/>
        <v>431596.04385000002</v>
      </c>
      <c r="AK24" s="211">
        <f t="shared" ref="AK24:AK25" si="27">AC24-AJ24</f>
        <v>-127888.68385000003</v>
      </c>
      <c r="AL24" s="42"/>
      <c r="AM24" s="42"/>
    </row>
    <row r="25" spans="2:39">
      <c r="B25" s="1" t="s">
        <v>40</v>
      </c>
      <c r="C25" s="173" t="s">
        <v>312</v>
      </c>
      <c r="D25" s="173" t="s">
        <v>380</v>
      </c>
      <c r="E25" s="173"/>
      <c r="F25" s="174" t="s">
        <v>370</v>
      </c>
      <c r="G25" s="175">
        <v>46118</v>
      </c>
      <c r="H25" s="175">
        <v>46118</v>
      </c>
      <c r="I25" s="175">
        <v>46163</v>
      </c>
      <c r="J25" s="175">
        <v>46136</v>
      </c>
      <c r="K25" s="176">
        <f t="shared" ref="K25" si="28">I25-H25</f>
        <v>45</v>
      </c>
      <c r="L25" s="177">
        <f t="shared" ref="L25" si="29">IF(P25="INR",90,180)</f>
        <v>180</v>
      </c>
      <c r="M25" s="177">
        <f t="shared" ref="M25" si="30">K25+L25</f>
        <v>225</v>
      </c>
      <c r="N25" s="178">
        <v>1040000</v>
      </c>
      <c r="O25" s="178">
        <v>1167759.06</v>
      </c>
      <c r="P25" s="178" t="s">
        <v>371</v>
      </c>
      <c r="Q25" s="179">
        <v>93.25</v>
      </c>
      <c r="R25" s="180">
        <f t="shared" si="26"/>
        <v>108893532.345</v>
      </c>
      <c r="S25" s="178"/>
      <c r="T25" s="178">
        <v>89907.87</v>
      </c>
      <c r="U25" s="180">
        <v>22476.97</v>
      </c>
      <c r="W25" s="180"/>
      <c r="X25" s="180">
        <v>1000</v>
      </c>
      <c r="Y25" s="180">
        <f>180+4045.85+16183.42</f>
        <v>20409.27</v>
      </c>
      <c r="Z25" s="178">
        <f t="shared" ref="Z25" si="31">SUM(S25:Y25)</f>
        <v>133794.10999999999</v>
      </c>
      <c r="AA25" s="181">
        <v>5.0000000000000001E-3</v>
      </c>
      <c r="AB25" s="181">
        <v>1E-3</v>
      </c>
      <c r="AC25" s="178">
        <f t="shared" ref="AC25" si="32">SUM(S25:X25)</f>
        <v>113384.84</v>
      </c>
      <c r="AD25" s="216">
        <f>SUMIFS(SAP!H:H,SAP!M:M,Charges!D25,SAP!V:V,Charges!B25)</f>
        <v>113384.83</v>
      </c>
      <c r="AE25" s="217">
        <f>ROUND(AC25-AD25,0)</f>
        <v>0</v>
      </c>
      <c r="AF25" s="182">
        <f>K32</f>
        <v>331230.69589999999</v>
      </c>
      <c r="AG25" s="182">
        <f>K36</f>
        <v>99365.347949999996</v>
      </c>
      <c r="AH25" s="182">
        <f t="shared" si="25"/>
        <v>1000</v>
      </c>
      <c r="AI25" s="182"/>
      <c r="AJ25" s="46">
        <f t="shared" si="1"/>
        <v>431596.04385000002</v>
      </c>
      <c r="AK25" s="211">
        <f t="shared" si="27"/>
        <v>-318211.20385000005</v>
      </c>
      <c r="AL25" s="179"/>
      <c r="AM25" s="179"/>
    </row>
    <row r="26" spans="2:39">
      <c r="C26" s="272" t="s">
        <v>44</v>
      </c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183">
        <f>SUM(N9:N25)</f>
        <v>23691878.52</v>
      </c>
      <c r="O26" s="183">
        <f t="shared" ref="O26:AM26" si="33">SUM(O9:O25)</f>
        <v>24274435.199999996</v>
      </c>
      <c r="P26" s="183"/>
      <c r="Q26" s="183"/>
      <c r="R26" s="183">
        <f t="shared" si="33"/>
        <v>504041672.64499998</v>
      </c>
      <c r="S26" s="183">
        <f t="shared" si="33"/>
        <v>10741</v>
      </c>
      <c r="T26" s="183">
        <f t="shared" si="33"/>
        <v>946700.96</v>
      </c>
      <c r="U26" s="183">
        <f>SUM(U9:U25)</f>
        <v>237061.53</v>
      </c>
      <c r="V26" s="183">
        <f t="shared" si="33"/>
        <v>36566</v>
      </c>
      <c r="W26" s="183">
        <f t="shared" si="33"/>
        <v>1500</v>
      </c>
      <c r="X26" s="183">
        <f t="shared" si="33"/>
        <v>9750</v>
      </c>
      <c r="Y26" s="183">
        <f t="shared" si="33"/>
        <v>217116.31</v>
      </c>
      <c r="Z26" s="183">
        <f t="shared" si="33"/>
        <v>1459435.7999999998</v>
      </c>
      <c r="AA26" s="183"/>
      <c r="AB26" s="183"/>
      <c r="AC26" s="183">
        <f t="shared" si="33"/>
        <v>1242319.49</v>
      </c>
      <c r="AD26" s="183">
        <f t="shared" si="33"/>
        <v>1242319.3</v>
      </c>
      <c r="AE26" s="183">
        <f t="shared" si="33"/>
        <v>0</v>
      </c>
      <c r="AF26" s="183">
        <f t="shared" si="33"/>
        <v>1475289.2767249998</v>
      </c>
      <c r="AG26" s="183">
        <f t="shared" si="33"/>
        <v>298096.04385000002</v>
      </c>
      <c r="AH26" s="183">
        <f t="shared" si="33"/>
        <v>9750</v>
      </c>
      <c r="AI26" s="183"/>
      <c r="AJ26" s="183">
        <f t="shared" si="33"/>
        <v>1784635.320575</v>
      </c>
      <c r="AK26" s="183">
        <f t="shared" si="33"/>
        <v>-542315.64155000006</v>
      </c>
      <c r="AL26" s="183">
        <f t="shared" si="33"/>
        <v>0</v>
      </c>
      <c r="AM26" s="183">
        <f t="shared" si="33"/>
        <v>0</v>
      </c>
    </row>
    <row r="29" spans="2:39">
      <c r="H29" s="1" t="s">
        <v>381</v>
      </c>
      <c r="I29" s="190">
        <v>5.3E-3</v>
      </c>
      <c r="J29" s="1">
        <v>50000000</v>
      </c>
      <c r="K29" s="191">
        <f>I29*J29*6/12</f>
        <v>132500</v>
      </c>
    </row>
    <row r="30" spans="2:39">
      <c r="H30" s="1"/>
      <c r="I30" s="190">
        <v>7.3000000000000001E-3</v>
      </c>
      <c r="J30" s="1">
        <v>50000000</v>
      </c>
      <c r="K30" s="191">
        <f>I30*J30*6/12</f>
        <v>182500</v>
      </c>
    </row>
    <row r="31" spans="2:39">
      <c r="H31" s="1"/>
      <c r="I31" s="190">
        <v>3.65E-3</v>
      </c>
      <c r="J31" s="186">
        <v>8893532</v>
      </c>
      <c r="K31" s="191">
        <f>I31*J31*6/12</f>
        <v>16230.695900000001</v>
      </c>
      <c r="M31">
        <v>108893532</v>
      </c>
      <c r="N31">
        <v>100000000</v>
      </c>
      <c r="O31">
        <f>M31-N31</f>
        <v>8893532</v>
      </c>
    </row>
    <row r="32" spans="2:39">
      <c r="H32" s="1"/>
      <c r="I32" s="1"/>
      <c r="J32" s="1"/>
      <c r="K32" s="1">
        <f>SUBTOTAL(9,K29:K31)</f>
        <v>331230.69589999999</v>
      </c>
    </row>
    <row r="33" spans="8:11">
      <c r="H33" s="1" t="s">
        <v>338</v>
      </c>
      <c r="I33" s="1"/>
      <c r="J33" s="1">
        <v>50000000</v>
      </c>
      <c r="K33" s="1"/>
    </row>
    <row r="34" spans="8:11">
      <c r="H34" s="1"/>
      <c r="I34" s="190">
        <v>3.65E-3</v>
      </c>
      <c r="J34" s="1">
        <v>50000000</v>
      </c>
      <c r="K34" s="1">
        <f>J34*I34*6/12</f>
        <v>91250</v>
      </c>
    </row>
    <row r="35" spans="8:11">
      <c r="H35" s="1"/>
      <c r="I35" s="190">
        <v>1.825E-3</v>
      </c>
      <c r="J35" s="186">
        <v>8893532</v>
      </c>
      <c r="K35" s="1">
        <f>J35*I35*6/12</f>
        <v>8115.3479500000003</v>
      </c>
    </row>
    <row r="36" spans="8:11">
      <c r="H36" s="1"/>
      <c r="I36" s="1"/>
      <c r="J36" s="1"/>
      <c r="K36" s="1">
        <f>SUBTOTAL(9,K34:K35)</f>
        <v>99365.347949999996</v>
      </c>
    </row>
  </sheetData>
  <autoFilter ref="B8:AM26"/>
  <mergeCells count="3">
    <mergeCell ref="S7:AE7"/>
    <mergeCell ref="AF7:AK7"/>
    <mergeCell ref="C26:M26"/>
  </mergeCells>
  <conditionalFormatting sqref="D8">
    <cfRule type="duplicateValues" dxfId="8" priority="7"/>
  </conditionalFormatting>
  <conditionalFormatting sqref="F1:F6">
    <cfRule type="duplicateValues" dxfId="7" priority="152"/>
  </conditionalFormatting>
  <conditionalFormatting sqref="D9:D20">
    <cfRule type="duplicateValues" dxfId="6" priority="15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B1:AG126"/>
  <sheetViews>
    <sheetView showGridLines="0" topLeftCell="A11" workbookViewId="0">
      <pane ySplit="2" topLeftCell="A81" activePane="bottomLeft" state="frozen"/>
      <selection pane="bottomLeft" activeCell="T91" sqref="T91"/>
    </sheetView>
  </sheetViews>
  <sheetFormatPr defaultRowHeight="15"/>
  <cols>
    <col min="2" max="2" width="9" customWidth="1"/>
    <col min="3" max="3" width="8.5703125" bestFit="1" customWidth="1"/>
    <col min="4" max="4" width="9.28515625" bestFit="1" customWidth="1"/>
    <col min="5" max="5" width="37.28515625" bestFit="1" customWidth="1"/>
    <col min="6" max="6" width="23" bestFit="1" customWidth="1"/>
    <col min="7" max="7" width="15.28515625" customWidth="1"/>
    <col min="8" max="8" width="17.140625" customWidth="1"/>
    <col min="9" max="9" width="13.42578125" customWidth="1"/>
    <col min="10" max="10" width="8.28515625" style="107" bestFit="1" customWidth="1"/>
    <col min="12" max="12" width="12" bestFit="1" customWidth="1"/>
    <col min="13" max="13" width="12.28515625" customWidth="1"/>
    <col min="14" max="14" width="11.140625" customWidth="1"/>
    <col min="15" max="18" width="12.28515625" customWidth="1"/>
    <col min="22" max="22" width="9" customWidth="1"/>
    <col min="23" max="23" width="12.5703125" customWidth="1"/>
    <col min="25" max="25" width="12" customWidth="1"/>
    <col min="26" max="26" width="9" bestFit="1" customWidth="1"/>
    <col min="27" max="27" width="12.140625" customWidth="1"/>
    <col min="28" max="28" width="11.28515625" customWidth="1"/>
    <col min="29" max="32" width="11.42578125" customWidth="1"/>
    <col min="33" max="33" width="28.140625" bestFit="1" customWidth="1"/>
  </cols>
  <sheetData>
    <row r="1" spans="2:33">
      <c r="J1"/>
    </row>
    <row r="2" spans="2:33">
      <c r="D2" s="129" t="s">
        <v>382</v>
      </c>
      <c r="E2" s="130"/>
      <c r="F2" s="69"/>
      <c r="H2" s="129" t="s">
        <v>1</v>
      </c>
      <c r="J2"/>
    </row>
    <row r="3" spans="2:33" ht="36">
      <c r="D3" s="138" t="s">
        <v>383</v>
      </c>
      <c r="E3" s="139" t="s">
        <v>384</v>
      </c>
      <c r="F3" s="140" t="s">
        <v>308</v>
      </c>
      <c r="G3" s="140" t="s">
        <v>385</v>
      </c>
      <c r="H3" s="140" t="s">
        <v>386</v>
      </c>
      <c r="J3"/>
    </row>
    <row r="4" spans="2:33">
      <c r="D4" s="141" t="s">
        <v>51</v>
      </c>
      <c r="E4" s="142">
        <f>SUMIFS(L:L,D:D,D4)</f>
        <v>922038137.33960021</v>
      </c>
      <c r="F4" s="142">
        <f>SUMIFS(X:X,D:D,D4)</f>
        <v>2203200.1800000002</v>
      </c>
      <c r="G4" s="142">
        <f>SUMIFS(AC:AC,D:D,D4)</f>
        <v>2203200.1800000002</v>
      </c>
      <c r="H4" s="143">
        <f>F4-G4</f>
        <v>0</v>
      </c>
      <c r="J4"/>
    </row>
    <row r="5" spans="2:33">
      <c r="D5" s="144" t="s">
        <v>312</v>
      </c>
      <c r="E5" s="142">
        <f>SUMIFS(L:L,D:D,D5)</f>
        <v>131230048.54960002</v>
      </c>
      <c r="F5" s="142">
        <f>SUMIFS(X:X,D:D,D5)</f>
        <v>2269757.77</v>
      </c>
      <c r="G5" s="142">
        <f>SUMIFS(AC:AC,D:D,D5)</f>
        <v>2269757.77</v>
      </c>
      <c r="H5" s="143">
        <f>F5-G5</f>
        <v>0</v>
      </c>
      <c r="J5"/>
    </row>
    <row r="6" spans="2:33">
      <c r="D6" s="144" t="s">
        <v>190</v>
      </c>
      <c r="E6" s="142">
        <f>SUMIFS(L:L,D:D,D6)</f>
        <v>68582864.200000003</v>
      </c>
      <c r="F6" s="142">
        <f>SUMIFS(X:X,D:D,D6)</f>
        <v>8750</v>
      </c>
      <c r="G6" s="142">
        <f>SUMIFS(AC:AC,D:D,D6)</f>
        <v>8750</v>
      </c>
      <c r="H6" s="143">
        <f t="shared" ref="H6:H7" si="0">F6-G6</f>
        <v>0</v>
      </c>
      <c r="J6"/>
    </row>
    <row r="7" spans="2:33">
      <c r="D7" s="144" t="s">
        <v>368</v>
      </c>
      <c r="E7" s="142">
        <f>SUMIFS(L:L,D:D,D7)</f>
        <v>153847803.5952</v>
      </c>
      <c r="F7" s="142">
        <f>SUMIFS(X:X,D:D,D7)</f>
        <v>2435541.5</v>
      </c>
      <c r="G7" s="142">
        <f>SUMIFS(AC:AC,D:D,D7)</f>
        <v>2435541.5</v>
      </c>
      <c r="H7" s="143">
        <f t="shared" si="0"/>
        <v>0</v>
      </c>
      <c r="J7"/>
    </row>
    <row r="8" spans="2:33">
      <c r="D8" s="263" t="s">
        <v>387</v>
      </c>
      <c r="E8" s="142">
        <f>SUMIFS(L:L,D:D,D8)</f>
        <v>124000000</v>
      </c>
      <c r="F8" s="142">
        <f>SUMIFS(X:X,D:D,D8)</f>
        <v>-64667</v>
      </c>
      <c r="G8" s="142">
        <f>SUMIFS(AC:AC,D:D,D8)</f>
        <v>-64667</v>
      </c>
      <c r="H8" s="143">
        <f t="shared" ref="H8" si="1">F8-G8</f>
        <v>0</v>
      </c>
      <c r="J8"/>
    </row>
    <row r="9" spans="2:33">
      <c r="D9" s="145" t="s">
        <v>388</v>
      </c>
      <c r="E9" s="146">
        <f>SUM(E4:E8)</f>
        <v>1399698853.6844003</v>
      </c>
      <c r="F9" s="146">
        <f t="shared" ref="F9:H9" si="2">SUM(F4:F8)</f>
        <v>6852582.4500000002</v>
      </c>
      <c r="G9" s="146">
        <f t="shared" si="2"/>
        <v>6852582.4500000002</v>
      </c>
      <c r="H9" s="146">
        <f t="shared" si="2"/>
        <v>0</v>
      </c>
      <c r="J9"/>
    </row>
    <row r="10" spans="2:33">
      <c r="J10"/>
    </row>
    <row r="11" spans="2:33">
      <c r="B11" s="1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289" t="s">
        <v>56</v>
      </c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1" t="s">
        <v>57</v>
      </c>
      <c r="AB11" s="291"/>
      <c r="AC11" s="291"/>
      <c r="AD11" s="291"/>
      <c r="AE11" s="291"/>
      <c r="AF11" s="49"/>
      <c r="AG11" s="50"/>
    </row>
    <row r="12" spans="2:33" ht="48">
      <c r="B12" s="1"/>
      <c r="C12" s="51" t="s">
        <v>58</v>
      </c>
      <c r="D12" s="52" t="s">
        <v>3</v>
      </c>
      <c r="E12" s="51" t="s">
        <v>45</v>
      </c>
      <c r="F12" s="52" t="s">
        <v>389</v>
      </c>
      <c r="G12" s="52" t="s">
        <v>390</v>
      </c>
      <c r="H12" s="53" t="s">
        <v>391</v>
      </c>
      <c r="I12" s="55" t="s">
        <v>199</v>
      </c>
      <c r="J12" s="54" t="s">
        <v>68</v>
      </c>
      <c r="K12" s="235" t="s">
        <v>69</v>
      </c>
      <c r="L12" s="54" t="s">
        <v>392</v>
      </c>
      <c r="M12" s="54" t="s">
        <v>393</v>
      </c>
      <c r="N12" s="54" t="s">
        <v>394</v>
      </c>
      <c r="O12" s="54" t="s">
        <v>395</v>
      </c>
      <c r="P12" s="54" t="s">
        <v>396</v>
      </c>
      <c r="Q12" s="54" t="s">
        <v>397</v>
      </c>
      <c r="R12" s="54" t="s">
        <v>398</v>
      </c>
      <c r="S12" s="54" t="s">
        <v>399</v>
      </c>
      <c r="T12" s="56" t="s">
        <v>400</v>
      </c>
      <c r="U12" s="56" t="s">
        <v>401</v>
      </c>
      <c r="V12" s="56" t="s">
        <v>76</v>
      </c>
      <c r="W12" s="54" t="s">
        <v>402</v>
      </c>
      <c r="X12" s="57" t="s">
        <v>403</v>
      </c>
      <c r="Y12" s="57" t="s">
        <v>404</v>
      </c>
      <c r="Z12" s="57" t="s">
        <v>405</v>
      </c>
      <c r="AA12" s="205" t="s">
        <v>406</v>
      </c>
      <c r="AB12" s="205" t="s">
        <v>407</v>
      </c>
      <c r="AC12" s="205" t="s">
        <v>341</v>
      </c>
      <c r="AD12" s="206" t="s">
        <v>408</v>
      </c>
      <c r="AE12" s="206" t="s">
        <v>409</v>
      </c>
      <c r="AF12" s="26" t="s">
        <v>343</v>
      </c>
      <c r="AG12" s="35" t="s">
        <v>39</v>
      </c>
    </row>
    <row r="13" spans="2:33">
      <c r="B13" s="66" t="s">
        <v>40</v>
      </c>
      <c r="C13" s="58" t="s">
        <v>90</v>
      </c>
      <c r="D13" s="59" t="s">
        <v>51</v>
      </c>
      <c r="E13" s="58" t="s">
        <v>410</v>
      </c>
      <c r="F13" s="60" t="s">
        <v>411</v>
      </c>
      <c r="G13" s="60"/>
      <c r="H13" s="60" t="s">
        <v>103</v>
      </c>
      <c r="I13" s="62">
        <v>710629.92</v>
      </c>
      <c r="J13" s="61" t="s">
        <v>371</v>
      </c>
      <c r="K13" s="61">
        <v>92.782499999999999</v>
      </c>
      <c r="L13" s="62">
        <f t="shared" ref="L13" si="3">I13*K13</f>
        <v>65934020.5524</v>
      </c>
      <c r="M13" s="62">
        <v>1323545.1499999999</v>
      </c>
      <c r="N13" s="62">
        <v>2500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11250</v>
      </c>
      <c r="W13" s="63">
        <f t="shared" ref="W13:W34" si="4">IFERROR(N13/L13*100,0)</f>
        <v>3.7916692764294047E-3</v>
      </c>
      <c r="X13" s="62">
        <f>SUM(M13:U13)-O13</f>
        <v>1326045.1499999999</v>
      </c>
      <c r="Y13" s="64">
        <f>SUMIFS(SAP!H:H,SAP!L:L,Retirement!F13,SAP!V:V,Retirement!B13)</f>
        <v>1326045.1499999999</v>
      </c>
      <c r="Z13" s="64">
        <f>ROUND(Y13-X13,0)</f>
        <v>0</v>
      </c>
      <c r="AA13" s="64">
        <f>N13+M13</f>
        <v>1326045.1499999999</v>
      </c>
      <c r="AB13" s="62">
        <v>0</v>
      </c>
      <c r="AC13" s="62">
        <f>AA13+AB13</f>
        <v>1326045.1499999999</v>
      </c>
      <c r="AD13" s="64">
        <f t="shared" ref="AD13:AD59" si="5">X13-AC13</f>
        <v>0</v>
      </c>
      <c r="AE13" s="64">
        <f>S13</f>
        <v>0</v>
      </c>
      <c r="AF13" s="65"/>
      <c r="AG13" s="59"/>
    </row>
    <row r="14" spans="2:33">
      <c r="B14" s="66" t="s">
        <v>40</v>
      </c>
      <c r="C14" s="58" t="s">
        <v>90</v>
      </c>
      <c r="D14" s="59" t="s">
        <v>51</v>
      </c>
      <c r="E14" s="58" t="s">
        <v>410</v>
      </c>
      <c r="F14" s="60" t="s">
        <v>412</v>
      </c>
      <c r="G14" s="60"/>
      <c r="H14" s="60" t="s">
        <v>103</v>
      </c>
      <c r="I14" s="62">
        <v>214156.79999999999</v>
      </c>
      <c r="J14" s="61" t="s">
        <v>371</v>
      </c>
      <c r="K14" s="61">
        <v>92.782499999999999</v>
      </c>
      <c r="L14" s="62">
        <f t="shared" ref="L14" si="6">I14*K14</f>
        <v>19870003.296</v>
      </c>
      <c r="M14" s="62">
        <v>398866.4</v>
      </c>
      <c r="N14" s="62">
        <v>2500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4836.6000000000004</v>
      </c>
      <c r="W14" s="63">
        <f t="shared" si="4"/>
        <v>1.2581779493228725E-2</v>
      </c>
      <c r="X14" s="62">
        <f>SUM(M14:U14)-O14</f>
        <v>401366.4</v>
      </c>
      <c r="Y14" s="64">
        <f>SUMIFS(SAP!H:H,SAP!L:L,Retirement!F14,SAP!V:V,Retirement!B14)</f>
        <v>401366.4</v>
      </c>
      <c r="Z14" s="64">
        <f t="shared" ref="Z14:Z77" si="7">ROUND(Y14-X14,0)</f>
        <v>0</v>
      </c>
      <c r="AA14" s="64">
        <f>N14+M14</f>
        <v>401366.4</v>
      </c>
      <c r="AB14" s="62">
        <v>0</v>
      </c>
      <c r="AC14" s="62">
        <f t="shared" ref="AC14:AC25" si="8">AA14+AB14</f>
        <v>401366.4</v>
      </c>
      <c r="AD14" s="64">
        <f t="shared" si="5"/>
        <v>0</v>
      </c>
      <c r="AE14" s="64">
        <f t="shared" ref="AE14:AE80" si="9">S14</f>
        <v>0</v>
      </c>
      <c r="AF14" s="65"/>
      <c r="AG14" s="59"/>
    </row>
    <row r="15" spans="2:33">
      <c r="B15" s="66" t="s">
        <v>40</v>
      </c>
      <c r="C15" s="58" t="s">
        <v>189</v>
      </c>
      <c r="D15" s="59" t="s">
        <v>51</v>
      </c>
      <c r="E15" s="58" t="s">
        <v>12</v>
      </c>
      <c r="F15" s="60" t="s">
        <v>208</v>
      </c>
      <c r="G15" s="60" t="s">
        <v>413</v>
      </c>
      <c r="H15" s="60" t="s">
        <v>346</v>
      </c>
      <c r="I15" s="62">
        <v>2161527</v>
      </c>
      <c r="J15" s="61" t="s">
        <v>193</v>
      </c>
      <c r="K15" s="63">
        <v>0</v>
      </c>
      <c r="L15" s="62">
        <f>I15</f>
        <v>2161527</v>
      </c>
      <c r="M15" s="62">
        <v>0</v>
      </c>
      <c r="N15" s="62">
        <v>2500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100</v>
      </c>
      <c r="U15" s="62">
        <v>0</v>
      </c>
      <c r="V15" s="62">
        <v>468</v>
      </c>
      <c r="W15" s="63">
        <f t="shared" si="4"/>
        <v>0.11565897627001652</v>
      </c>
      <c r="X15" s="62">
        <f t="shared" ref="X15:X25" si="10">SUM(M15:U15)</f>
        <v>2600</v>
      </c>
      <c r="Y15" s="64">
        <f>SUMIFS(SAP!H:H,SAP!L:L,Retirement!F15,SAP!V:V,Retirement!B15)</f>
        <v>2600</v>
      </c>
      <c r="Z15" s="64">
        <f t="shared" si="7"/>
        <v>0</v>
      </c>
      <c r="AA15" s="64">
        <f>N15</f>
        <v>2500</v>
      </c>
      <c r="AB15" s="62">
        <f>T15</f>
        <v>100</v>
      </c>
      <c r="AC15" s="62">
        <f t="shared" si="8"/>
        <v>2600</v>
      </c>
      <c r="AD15" s="64">
        <f t="shared" si="5"/>
        <v>0</v>
      </c>
      <c r="AE15" s="64">
        <f t="shared" si="9"/>
        <v>0</v>
      </c>
      <c r="AF15" s="65"/>
      <c r="AG15" s="59"/>
    </row>
    <row r="16" spans="2:33">
      <c r="B16" s="66" t="s">
        <v>40</v>
      </c>
      <c r="C16" s="58" t="s">
        <v>189</v>
      </c>
      <c r="D16" s="59" t="s">
        <v>51</v>
      </c>
      <c r="E16" s="58" t="s">
        <v>12</v>
      </c>
      <c r="F16" s="60" t="s">
        <v>209</v>
      </c>
      <c r="G16" s="60" t="s">
        <v>414</v>
      </c>
      <c r="H16" s="60" t="s">
        <v>98</v>
      </c>
      <c r="I16" s="62">
        <v>3419604</v>
      </c>
      <c r="J16" s="61" t="s">
        <v>193</v>
      </c>
      <c r="K16" s="63">
        <v>0</v>
      </c>
      <c r="L16" s="62">
        <f t="shared" ref="L16:L28" si="11">I16</f>
        <v>3419604</v>
      </c>
      <c r="M16" s="62">
        <v>0</v>
      </c>
      <c r="N16" s="62">
        <v>2500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100</v>
      </c>
      <c r="U16" s="62">
        <v>0</v>
      </c>
      <c r="V16" s="62">
        <v>468</v>
      </c>
      <c r="W16" s="63">
        <f t="shared" si="4"/>
        <v>7.3107880327663674E-2</v>
      </c>
      <c r="X16" s="62">
        <f t="shared" si="10"/>
        <v>2600</v>
      </c>
      <c r="Y16" s="64">
        <f>SUMIFS(SAP!H:H,SAP!L:L,Retirement!F16,SAP!V:V,Retirement!B16)</f>
        <v>2600</v>
      </c>
      <c r="Z16" s="64">
        <f t="shared" si="7"/>
        <v>0</v>
      </c>
      <c r="AA16" s="64">
        <f t="shared" ref="AA16:AA34" si="12">N16</f>
        <v>2500</v>
      </c>
      <c r="AB16" s="62">
        <f t="shared" ref="AB16:AB34" si="13">T16</f>
        <v>100</v>
      </c>
      <c r="AC16" s="62">
        <f t="shared" si="8"/>
        <v>2600</v>
      </c>
      <c r="AD16" s="64">
        <f t="shared" si="5"/>
        <v>0</v>
      </c>
      <c r="AE16" s="64">
        <f t="shared" si="9"/>
        <v>0</v>
      </c>
      <c r="AF16" s="65"/>
      <c r="AG16" s="59"/>
    </row>
    <row r="17" spans="2:33">
      <c r="B17" s="66" t="s">
        <v>40</v>
      </c>
      <c r="C17" s="58" t="s">
        <v>189</v>
      </c>
      <c r="D17" s="59" t="s">
        <v>51</v>
      </c>
      <c r="E17" s="58" t="s">
        <v>12</v>
      </c>
      <c r="F17" s="60" t="s">
        <v>210</v>
      </c>
      <c r="G17" s="60" t="s">
        <v>415</v>
      </c>
      <c r="H17" s="60" t="s">
        <v>92</v>
      </c>
      <c r="I17" s="62">
        <v>2406092</v>
      </c>
      <c r="J17" s="61" t="s">
        <v>193</v>
      </c>
      <c r="K17" s="63">
        <v>0</v>
      </c>
      <c r="L17" s="62">
        <f t="shared" si="11"/>
        <v>2406092</v>
      </c>
      <c r="M17" s="62">
        <v>0</v>
      </c>
      <c r="N17" s="62">
        <v>2500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100</v>
      </c>
      <c r="U17" s="62">
        <v>0</v>
      </c>
      <c r="V17" s="62">
        <v>468</v>
      </c>
      <c r="W17" s="63">
        <f t="shared" si="4"/>
        <v>0.10390292640514161</v>
      </c>
      <c r="X17" s="62">
        <f t="shared" si="10"/>
        <v>2600</v>
      </c>
      <c r="Y17" s="64">
        <f>SUMIFS(SAP!H:H,SAP!L:L,Retirement!F17,SAP!V:V,Retirement!B17)</f>
        <v>2600</v>
      </c>
      <c r="Z17" s="64">
        <f t="shared" si="7"/>
        <v>0</v>
      </c>
      <c r="AA17" s="64">
        <f t="shared" si="12"/>
        <v>2500</v>
      </c>
      <c r="AB17" s="62">
        <f t="shared" si="13"/>
        <v>100</v>
      </c>
      <c r="AC17" s="62">
        <f t="shared" si="8"/>
        <v>2600</v>
      </c>
      <c r="AD17" s="64">
        <f t="shared" si="5"/>
        <v>0</v>
      </c>
      <c r="AE17" s="64">
        <f t="shared" si="9"/>
        <v>0</v>
      </c>
      <c r="AF17" s="65"/>
      <c r="AG17" s="59"/>
    </row>
    <row r="18" spans="2:33">
      <c r="B18" s="66" t="s">
        <v>40</v>
      </c>
      <c r="C18" s="58" t="s">
        <v>189</v>
      </c>
      <c r="D18" s="59" t="s">
        <v>51</v>
      </c>
      <c r="E18" s="58" t="s">
        <v>12</v>
      </c>
      <c r="F18" s="60" t="s">
        <v>211</v>
      </c>
      <c r="G18" s="60" t="s">
        <v>416</v>
      </c>
      <c r="H18" s="60" t="s">
        <v>417</v>
      </c>
      <c r="I18" s="62">
        <v>2589324</v>
      </c>
      <c r="J18" s="61" t="s">
        <v>193</v>
      </c>
      <c r="K18" s="63">
        <v>0</v>
      </c>
      <c r="L18" s="62">
        <f t="shared" si="11"/>
        <v>2589324</v>
      </c>
      <c r="M18" s="62">
        <v>0</v>
      </c>
      <c r="N18" s="62">
        <v>2500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100</v>
      </c>
      <c r="U18" s="62">
        <v>0</v>
      </c>
      <c r="V18" s="62">
        <v>468</v>
      </c>
      <c r="W18" s="63">
        <f t="shared" si="4"/>
        <v>9.6550296525270696E-2</v>
      </c>
      <c r="X18" s="62">
        <f t="shared" si="10"/>
        <v>2600</v>
      </c>
      <c r="Y18" s="64">
        <f>SUMIFS(SAP!H:H,SAP!L:L,Retirement!F18,SAP!V:V,Retirement!B18)</f>
        <v>2600</v>
      </c>
      <c r="Z18" s="64">
        <f t="shared" si="7"/>
        <v>0</v>
      </c>
      <c r="AA18" s="64">
        <f t="shared" si="12"/>
        <v>2500</v>
      </c>
      <c r="AB18" s="62">
        <f t="shared" si="13"/>
        <v>100</v>
      </c>
      <c r="AC18" s="62">
        <f t="shared" si="8"/>
        <v>2600</v>
      </c>
      <c r="AD18" s="64">
        <f t="shared" si="5"/>
        <v>0</v>
      </c>
      <c r="AE18" s="64">
        <f t="shared" si="9"/>
        <v>0</v>
      </c>
      <c r="AF18" s="65"/>
      <c r="AG18" s="59"/>
    </row>
    <row r="19" spans="2:33">
      <c r="B19" s="66" t="s">
        <v>40</v>
      </c>
      <c r="C19" s="58" t="s">
        <v>189</v>
      </c>
      <c r="D19" s="59" t="s">
        <v>51</v>
      </c>
      <c r="E19" s="58" t="s">
        <v>12</v>
      </c>
      <c r="F19" s="60" t="s">
        <v>212</v>
      </c>
      <c r="G19" s="60" t="s">
        <v>418</v>
      </c>
      <c r="H19" s="60" t="s">
        <v>359</v>
      </c>
      <c r="I19" s="62">
        <v>2614823</v>
      </c>
      <c r="J19" s="61" t="s">
        <v>193</v>
      </c>
      <c r="K19" s="63">
        <v>0</v>
      </c>
      <c r="L19" s="62">
        <f t="shared" si="11"/>
        <v>2614823</v>
      </c>
      <c r="M19" s="62">
        <v>0</v>
      </c>
      <c r="N19" s="62">
        <v>2500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100</v>
      </c>
      <c r="U19" s="62">
        <v>0</v>
      </c>
      <c r="V19" s="62">
        <v>468</v>
      </c>
      <c r="W19" s="63">
        <f t="shared" si="4"/>
        <v>9.5608765870577095E-2</v>
      </c>
      <c r="X19" s="62">
        <f t="shared" si="10"/>
        <v>2600</v>
      </c>
      <c r="Y19" s="64">
        <f>SUMIFS(SAP!H:H,SAP!L:L,Retirement!F19,SAP!V:V,Retirement!B19)</f>
        <v>2600</v>
      </c>
      <c r="Z19" s="64">
        <f t="shared" si="7"/>
        <v>0</v>
      </c>
      <c r="AA19" s="64">
        <f t="shared" si="12"/>
        <v>2500</v>
      </c>
      <c r="AB19" s="62">
        <f t="shared" si="13"/>
        <v>100</v>
      </c>
      <c r="AC19" s="62">
        <f t="shared" si="8"/>
        <v>2600</v>
      </c>
      <c r="AD19" s="64">
        <f t="shared" si="5"/>
        <v>0</v>
      </c>
      <c r="AE19" s="64">
        <f t="shared" si="9"/>
        <v>0</v>
      </c>
      <c r="AF19" s="65"/>
      <c r="AG19" s="59"/>
    </row>
    <row r="20" spans="2:33">
      <c r="B20" s="66" t="s">
        <v>40</v>
      </c>
      <c r="C20" s="58" t="s">
        <v>189</v>
      </c>
      <c r="D20" s="59" t="s">
        <v>51</v>
      </c>
      <c r="E20" s="58" t="s">
        <v>12</v>
      </c>
      <c r="F20" s="60" t="s">
        <v>213</v>
      </c>
      <c r="G20" s="60" t="s">
        <v>419</v>
      </c>
      <c r="H20" s="60" t="s">
        <v>359</v>
      </c>
      <c r="I20" s="62">
        <v>14432698</v>
      </c>
      <c r="J20" s="61" t="s">
        <v>193</v>
      </c>
      <c r="K20" s="63">
        <v>0</v>
      </c>
      <c r="L20" s="62">
        <f t="shared" si="11"/>
        <v>14432698</v>
      </c>
      <c r="M20" s="62">
        <v>0</v>
      </c>
      <c r="N20" s="62">
        <v>2500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100</v>
      </c>
      <c r="U20" s="62">
        <v>0</v>
      </c>
      <c r="V20" s="62">
        <v>468</v>
      </c>
      <c r="W20" s="63">
        <f t="shared" si="4"/>
        <v>1.732177864457498E-2</v>
      </c>
      <c r="X20" s="62">
        <f t="shared" si="10"/>
        <v>2600</v>
      </c>
      <c r="Y20" s="64">
        <f>SUMIFS(SAP!H:H,SAP!L:L,Retirement!F20,SAP!V:V,Retirement!B20)</f>
        <v>2600</v>
      </c>
      <c r="Z20" s="64">
        <f t="shared" si="7"/>
        <v>0</v>
      </c>
      <c r="AA20" s="64">
        <f t="shared" si="12"/>
        <v>2500</v>
      </c>
      <c r="AB20" s="62">
        <f t="shared" si="13"/>
        <v>100</v>
      </c>
      <c r="AC20" s="62">
        <f t="shared" si="8"/>
        <v>2600</v>
      </c>
      <c r="AD20" s="64">
        <f t="shared" si="5"/>
        <v>0</v>
      </c>
      <c r="AE20" s="64">
        <f t="shared" si="9"/>
        <v>0</v>
      </c>
      <c r="AF20" s="65"/>
      <c r="AG20" s="59"/>
    </row>
    <row r="21" spans="2:33">
      <c r="B21" s="66" t="s">
        <v>40</v>
      </c>
      <c r="C21" s="58" t="s">
        <v>189</v>
      </c>
      <c r="D21" s="59" t="s">
        <v>51</v>
      </c>
      <c r="E21" s="58" t="s">
        <v>12</v>
      </c>
      <c r="F21" s="60" t="s">
        <v>214</v>
      </c>
      <c r="G21" s="60" t="s">
        <v>420</v>
      </c>
      <c r="H21" s="60" t="s">
        <v>359</v>
      </c>
      <c r="I21" s="62">
        <v>1993904</v>
      </c>
      <c r="J21" s="61" t="s">
        <v>193</v>
      </c>
      <c r="K21" s="63">
        <v>0</v>
      </c>
      <c r="L21" s="62">
        <f t="shared" si="11"/>
        <v>1993904</v>
      </c>
      <c r="M21" s="62">
        <v>0</v>
      </c>
      <c r="N21" s="62">
        <v>2500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100</v>
      </c>
      <c r="U21" s="62">
        <v>0</v>
      </c>
      <c r="V21" s="62">
        <v>468</v>
      </c>
      <c r="W21" s="63">
        <f t="shared" si="4"/>
        <v>0.12538216483842754</v>
      </c>
      <c r="X21" s="62">
        <f t="shared" si="10"/>
        <v>2600</v>
      </c>
      <c r="Y21" s="64">
        <f>SUMIFS(SAP!H:H,SAP!L:L,Retirement!F21,SAP!V:V,Retirement!B21)</f>
        <v>2600</v>
      </c>
      <c r="Z21" s="64">
        <f t="shared" si="7"/>
        <v>0</v>
      </c>
      <c r="AA21" s="64">
        <f t="shared" si="12"/>
        <v>2500</v>
      </c>
      <c r="AB21" s="62">
        <f t="shared" si="13"/>
        <v>100</v>
      </c>
      <c r="AC21" s="62">
        <f t="shared" si="8"/>
        <v>2600</v>
      </c>
      <c r="AD21" s="64">
        <f t="shared" si="5"/>
        <v>0</v>
      </c>
      <c r="AE21" s="64">
        <f t="shared" si="9"/>
        <v>0</v>
      </c>
      <c r="AF21" s="65"/>
      <c r="AG21" s="59"/>
    </row>
    <row r="22" spans="2:33">
      <c r="B22" s="66" t="s">
        <v>40</v>
      </c>
      <c r="C22" s="58" t="s">
        <v>189</v>
      </c>
      <c r="D22" s="59" t="s">
        <v>51</v>
      </c>
      <c r="E22" s="58" t="s">
        <v>12</v>
      </c>
      <c r="F22" s="60" t="s">
        <v>215</v>
      </c>
      <c r="G22" s="60" t="s">
        <v>421</v>
      </c>
      <c r="H22" s="60" t="s">
        <v>359</v>
      </c>
      <c r="I22" s="62">
        <v>5134754</v>
      </c>
      <c r="J22" s="61" t="s">
        <v>193</v>
      </c>
      <c r="K22" s="63">
        <v>0</v>
      </c>
      <c r="L22" s="62">
        <f t="shared" si="11"/>
        <v>5134754</v>
      </c>
      <c r="M22" s="62">
        <v>0</v>
      </c>
      <c r="N22" s="62">
        <v>2500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100</v>
      </c>
      <c r="U22" s="62">
        <v>0</v>
      </c>
      <c r="V22" s="62">
        <v>468</v>
      </c>
      <c r="W22" s="63">
        <f t="shared" si="4"/>
        <v>4.8687824187877357E-2</v>
      </c>
      <c r="X22" s="62">
        <f t="shared" si="10"/>
        <v>2600</v>
      </c>
      <c r="Y22" s="64">
        <f>SUMIFS(SAP!H:H,SAP!L:L,Retirement!F22,SAP!V:V,Retirement!B22)</f>
        <v>2600</v>
      </c>
      <c r="Z22" s="64">
        <f t="shared" si="7"/>
        <v>0</v>
      </c>
      <c r="AA22" s="64">
        <f t="shared" si="12"/>
        <v>2500</v>
      </c>
      <c r="AB22" s="62">
        <f t="shared" si="13"/>
        <v>100</v>
      </c>
      <c r="AC22" s="62">
        <f t="shared" si="8"/>
        <v>2600</v>
      </c>
      <c r="AD22" s="64">
        <f t="shared" si="5"/>
        <v>0</v>
      </c>
      <c r="AE22" s="64">
        <f t="shared" si="9"/>
        <v>0</v>
      </c>
      <c r="AF22" s="65"/>
      <c r="AG22" s="59"/>
    </row>
    <row r="23" spans="2:33">
      <c r="B23" s="66" t="s">
        <v>40</v>
      </c>
      <c r="C23" s="58" t="s">
        <v>189</v>
      </c>
      <c r="D23" s="59" t="s">
        <v>51</v>
      </c>
      <c r="E23" s="58" t="s">
        <v>12</v>
      </c>
      <c r="F23" s="60" t="s">
        <v>217</v>
      </c>
      <c r="G23" s="60"/>
      <c r="H23" s="60" t="s">
        <v>103</v>
      </c>
      <c r="I23" s="62">
        <v>1975556</v>
      </c>
      <c r="J23" s="61" t="s">
        <v>193</v>
      </c>
      <c r="K23" s="63">
        <v>0</v>
      </c>
      <c r="L23" s="62">
        <f t="shared" si="11"/>
        <v>1975556</v>
      </c>
      <c r="M23" s="62">
        <v>0</v>
      </c>
      <c r="N23" s="62">
        <v>2500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100</v>
      </c>
      <c r="U23" s="62">
        <v>0</v>
      </c>
      <c r="V23" s="62">
        <v>468</v>
      </c>
      <c r="W23" s="63">
        <f t="shared" si="4"/>
        <v>0.1265466531953536</v>
      </c>
      <c r="X23" s="62">
        <f t="shared" si="10"/>
        <v>2600</v>
      </c>
      <c r="Y23" s="64">
        <f>SUMIFS(SAP!H:H,SAP!L:L,Retirement!F23,SAP!V:V,Retirement!B23)</f>
        <v>2600</v>
      </c>
      <c r="Z23" s="64">
        <f t="shared" si="7"/>
        <v>0</v>
      </c>
      <c r="AA23" s="64">
        <f t="shared" si="12"/>
        <v>2500</v>
      </c>
      <c r="AB23" s="62">
        <f t="shared" si="13"/>
        <v>100</v>
      </c>
      <c r="AC23" s="62">
        <f t="shared" si="8"/>
        <v>2600</v>
      </c>
      <c r="AD23" s="64">
        <f t="shared" si="5"/>
        <v>0</v>
      </c>
      <c r="AE23" s="64">
        <f t="shared" si="9"/>
        <v>0</v>
      </c>
      <c r="AF23" s="65"/>
      <c r="AG23" s="59"/>
    </row>
    <row r="24" spans="2:33">
      <c r="B24" s="66" t="s">
        <v>40</v>
      </c>
      <c r="C24" s="58" t="s">
        <v>189</v>
      </c>
      <c r="D24" s="59" t="s">
        <v>51</v>
      </c>
      <c r="E24" s="58" t="s">
        <v>12</v>
      </c>
      <c r="F24" s="60" t="s">
        <v>218</v>
      </c>
      <c r="G24" s="60" t="s">
        <v>422</v>
      </c>
      <c r="H24" s="60" t="s">
        <v>423</v>
      </c>
      <c r="I24" s="62">
        <v>10198967</v>
      </c>
      <c r="J24" s="61" t="s">
        <v>193</v>
      </c>
      <c r="K24" s="63">
        <v>0</v>
      </c>
      <c r="L24" s="62">
        <f t="shared" si="11"/>
        <v>10198967</v>
      </c>
      <c r="M24" s="62">
        <v>0</v>
      </c>
      <c r="N24" s="62">
        <v>2500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100</v>
      </c>
      <c r="U24" s="62">
        <v>0</v>
      </c>
      <c r="V24" s="62">
        <v>468</v>
      </c>
      <c r="W24" s="63">
        <f t="shared" si="4"/>
        <v>2.4512286391357087E-2</v>
      </c>
      <c r="X24" s="62">
        <f t="shared" si="10"/>
        <v>2600</v>
      </c>
      <c r="Y24" s="64">
        <f>SUMIFS(SAP!H:H,SAP!L:L,Retirement!F24,SAP!V:V,Retirement!B24)</f>
        <v>2600</v>
      </c>
      <c r="Z24" s="64">
        <f t="shared" si="7"/>
        <v>0</v>
      </c>
      <c r="AA24" s="64">
        <f t="shared" si="12"/>
        <v>2500</v>
      </c>
      <c r="AB24" s="62">
        <f t="shared" si="13"/>
        <v>100</v>
      </c>
      <c r="AC24" s="62">
        <f t="shared" si="8"/>
        <v>2600</v>
      </c>
      <c r="AD24" s="64">
        <f t="shared" si="5"/>
        <v>0</v>
      </c>
      <c r="AE24" s="64">
        <f t="shared" si="9"/>
        <v>0</v>
      </c>
      <c r="AF24" s="65"/>
      <c r="AG24" s="59"/>
    </row>
    <row r="25" spans="2:33">
      <c r="B25" s="66" t="s">
        <v>40</v>
      </c>
      <c r="C25" s="58" t="s">
        <v>189</v>
      </c>
      <c r="D25" s="59" t="s">
        <v>51</v>
      </c>
      <c r="E25" s="58" t="s">
        <v>12</v>
      </c>
      <c r="F25" s="60" t="s">
        <v>219</v>
      </c>
      <c r="G25" s="60" t="s">
        <v>424</v>
      </c>
      <c r="H25" s="60" t="s">
        <v>103</v>
      </c>
      <c r="I25" s="62">
        <v>7201479</v>
      </c>
      <c r="J25" s="61" t="s">
        <v>193</v>
      </c>
      <c r="K25" s="63">
        <v>0</v>
      </c>
      <c r="L25" s="62">
        <f t="shared" si="11"/>
        <v>7201479</v>
      </c>
      <c r="M25" s="62">
        <v>0</v>
      </c>
      <c r="N25" s="62">
        <v>2500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100</v>
      </c>
      <c r="U25" s="62">
        <v>0</v>
      </c>
      <c r="V25" s="62">
        <v>468</v>
      </c>
      <c r="W25" s="63">
        <f t="shared" si="4"/>
        <v>3.4715091163912304E-2</v>
      </c>
      <c r="X25" s="62">
        <f t="shared" si="10"/>
        <v>2600</v>
      </c>
      <c r="Y25" s="64">
        <f>SUMIFS(SAP!H:H,SAP!L:L,Retirement!F25,SAP!V:V,Retirement!B25)</f>
        <v>2600</v>
      </c>
      <c r="Z25" s="64">
        <f t="shared" si="7"/>
        <v>0</v>
      </c>
      <c r="AA25" s="64">
        <f t="shared" si="12"/>
        <v>2500</v>
      </c>
      <c r="AB25" s="62">
        <f t="shared" si="13"/>
        <v>100</v>
      </c>
      <c r="AC25" s="62">
        <f t="shared" si="8"/>
        <v>2600</v>
      </c>
      <c r="AD25" s="64">
        <f t="shared" si="5"/>
        <v>0</v>
      </c>
      <c r="AE25" s="64">
        <f t="shared" si="9"/>
        <v>0</v>
      </c>
      <c r="AF25" s="65"/>
      <c r="AG25" s="59"/>
    </row>
    <row r="26" spans="2:33">
      <c r="B26" s="66" t="s">
        <v>40</v>
      </c>
      <c r="C26" s="58" t="s">
        <v>189</v>
      </c>
      <c r="D26" s="59" t="s">
        <v>51</v>
      </c>
      <c r="E26" s="58" t="s">
        <v>12</v>
      </c>
      <c r="F26" s="60" t="s">
        <v>220</v>
      </c>
      <c r="G26" s="60" t="s">
        <v>425</v>
      </c>
      <c r="H26" s="60" t="s">
        <v>103</v>
      </c>
      <c r="I26" s="62">
        <v>5012896</v>
      </c>
      <c r="J26" s="61" t="s">
        <v>193</v>
      </c>
      <c r="K26" s="63">
        <v>0</v>
      </c>
      <c r="L26" s="62">
        <f t="shared" si="11"/>
        <v>5012896</v>
      </c>
      <c r="M26" s="62">
        <v>0</v>
      </c>
      <c r="N26" s="62">
        <v>2500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100</v>
      </c>
      <c r="U26" s="62">
        <v>0</v>
      </c>
      <c r="V26" s="62">
        <v>468</v>
      </c>
      <c r="W26" s="63">
        <f t="shared" si="4"/>
        <v>4.9871371757961871E-2</v>
      </c>
      <c r="X26" s="62">
        <f t="shared" ref="X26:X39" si="14">SUM(M26:U26)</f>
        <v>2600</v>
      </c>
      <c r="Y26" s="64">
        <f>SUMIFS(SAP!H:H,SAP!L:L,Retirement!F26,SAP!V:V,Retirement!B26)</f>
        <v>2600</v>
      </c>
      <c r="Z26" s="64">
        <f t="shared" si="7"/>
        <v>0</v>
      </c>
      <c r="AA26" s="64">
        <f t="shared" si="12"/>
        <v>2500</v>
      </c>
      <c r="AB26" s="62">
        <f t="shared" si="13"/>
        <v>100</v>
      </c>
      <c r="AC26" s="62">
        <f t="shared" ref="AC26:AC39" si="15">AA26+AB26</f>
        <v>2600</v>
      </c>
      <c r="AD26" s="64">
        <f t="shared" si="5"/>
        <v>0</v>
      </c>
      <c r="AE26" s="64">
        <f t="shared" si="9"/>
        <v>0</v>
      </c>
      <c r="AF26" s="65"/>
      <c r="AG26" s="59"/>
    </row>
    <row r="27" spans="2:33">
      <c r="B27" s="66" t="s">
        <v>40</v>
      </c>
      <c r="C27" s="58" t="s">
        <v>189</v>
      </c>
      <c r="D27" s="59" t="s">
        <v>51</v>
      </c>
      <c r="E27" s="58" t="s">
        <v>12</v>
      </c>
      <c r="F27" s="60" t="s">
        <v>221</v>
      </c>
      <c r="G27" s="60" t="s">
        <v>426</v>
      </c>
      <c r="H27" s="60" t="s">
        <v>111</v>
      </c>
      <c r="I27" s="62">
        <v>5011571</v>
      </c>
      <c r="J27" s="61" t="s">
        <v>193</v>
      </c>
      <c r="K27" s="63">
        <v>0</v>
      </c>
      <c r="L27" s="62">
        <f t="shared" si="11"/>
        <v>5011571</v>
      </c>
      <c r="M27" s="62">
        <v>0</v>
      </c>
      <c r="N27" s="62">
        <v>2500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100</v>
      </c>
      <c r="U27" s="62">
        <v>0</v>
      </c>
      <c r="V27" s="62">
        <v>468</v>
      </c>
      <c r="W27" s="63">
        <f t="shared" si="4"/>
        <v>4.988455715782536E-2</v>
      </c>
      <c r="X27" s="62">
        <f t="shared" si="14"/>
        <v>2600</v>
      </c>
      <c r="Y27" s="64">
        <f>SUMIFS(SAP!H:H,SAP!L:L,Retirement!F27,SAP!V:V,Retirement!B27)</f>
        <v>2600</v>
      </c>
      <c r="Z27" s="64">
        <f t="shared" si="7"/>
        <v>0</v>
      </c>
      <c r="AA27" s="64">
        <f t="shared" si="12"/>
        <v>2500</v>
      </c>
      <c r="AB27" s="62">
        <f t="shared" si="13"/>
        <v>100</v>
      </c>
      <c r="AC27" s="62">
        <f t="shared" si="15"/>
        <v>2600</v>
      </c>
      <c r="AD27" s="64">
        <f t="shared" si="5"/>
        <v>0</v>
      </c>
      <c r="AE27" s="64">
        <f t="shared" si="9"/>
        <v>0</v>
      </c>
      <c r="AF27" s="65"/>
      <c r="AG27" s="59"/>
    </row>
    <row r="28" spans="2:33">
      <c r="B28" s="66" t="s">
        <v>40</v>
      </c>
      <c r="C28" s="58" t="s">
        <v>189</v>
      </c>
      <c r="D28" s="59" t="s">
        <v>51</v>
      </c>
      <c r="E28" s="58" t="s">
        <v>12</v>
      </c>
      <c r="F28" s="60" t="s">
        <v>222</v>
      </c>
      <c r="G28" s="60" t="s">
        <v>427</v>
      </c>
      <c r="H28" s="60" t="s">
        <v>111</v>
      </c>
      <c r="I28" s="62">
        <v>7341398</v>
      </c>
      <c r="J28" s="61" t="s">
        <v>193</v>
      </c>
      <c r="K28" s="63">
        <v>0</v>
      </c>
      <c r="L28" s="62">
        <f t="shared" si="11"/>
        <v>7341398</v>
      </c>
      <c r="M28" s="62">
        <v>0</v>
      </c>
      <c r="N28" s="62">
        <v>2500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100</v>
      </c>
      <c r="U28" s="62">
        <v>0</v>
      </c>
      <c r="V28" s="62">
        <v>468</v>
      </c>
      <c r="W28" s="63">
        <f t="shared" si="4"/>
        <v>3.4053459572686295E-2</v>
      </c>
      <c r="X28" s="62">
        <f t="shared" si="14"/>
        <v>2600</v>
      </c>
      <c r="Y28" s="64">
        <f>SUMIFS(SAP!H:H,SAP!L:L,Retirement!F28,SAP!V:V,Retirement!B28)</f>
        <v>2600</v>
      </c>
      <c r="Z28" s="64">
        <f t="shared" si="7"/>
        <v>0</v>
      </c>
      <c r="AA28" s="64">
        <f t="shared" si="12"/>
        <v>2500</v>
      </c>
      <c r="AB28" s="62">
        <f t="shared" si="13"/>
        <v>100</v>
      </c>
      <c r="AC28" s="62">
        <f t="shared" si="15"/>
        <v>2600</v>
      </c>
      <c r="AD28" s="64">
        <f t="shared" si="5"/>
        <v>0</v>
      </c>
      <c r="AE28" s="64">
        <f t="shared" si="9"/>
        <v>0</v>
      </c>
      <c r="AF28" s="65"/>
      <c r="AG28" s="59"/>
    </row>
    <row r="29" spans="2:33">
      <c r="B29" s="66" t="s">
        <v>40</v>
      </c>
      <c r="C29" s="58" t="s">
        <v>189</v>
      </c>
      <c r="D29" s="59" t="s">
        <v>51</v>
      </c>
      <c r="E29" s="58" t="s">
        <v>12</v>
      </c>
      <c r="F29" s="60" t="s">
        <v>226</v>
      </c>
      <c r="G29" s="60" t="s">
        <v>428</v>
      </c>
      <c r="H29" s="60" t="s">
        <v>145</v>
      </c>
      <c r="I29" s="62">
        <v>10333134</v>
      </c>
      <c r="J29" s="61" t="s">
        <v>193</v>
      </c>
      <c r="K29" s="63">
        <v>0</v>
      </c>
      <c r="L29" s="62">
        <f t="shared" ref="L29:L34" si="16">I29</f>
        <v>10333134</v>
      </c>
      <c r="M29" s="62">
        <v>0</v>
      </c>
      <c r="N29" s="62">
        <v>2500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100</v>
      </c>
      <c r="U29" s="62">
        <v>0</v>
      </c>
      <c r="V29" s="62">
        <v>468</v>
      </c>
      <c r="W29" s="63">
        <f t="shared" si="4"/>
        <v>2.4194015097452524E-2</v>
      </c>
      <c r="X29" s="62">
        <f t="shared" si="14"/>
        <v>2600</v>
      </c>
      <c r="Y29" s="64">
        <f>SUMIFS(SAP!H:H,SAP!L:L,Retirement!F29,SAP!V:V,Retirement!B29)</f>
        <v>2600</v>
      </c>
      <c r="Z29" s="64">
        <f t="shared" si="7"/>
        <v>0</v>
      </c>
      <c r="AA29" s="64">
        <f t="shared" si="12"/>
        <v>2500</v>
      </c>
      <c r="AB29" s="62">
        <f t="shared" si="13"/>
        <v>100</v>
      </c>
      <c r="AC29" s="62">
        <f t="shared" si="15"/>
        <v>2600</v>
      </c>
      <c r="AD29" s="64">
        <f t="shared" si="5"/>
        <v>0</v>
      </c>
      <c r="AE29" s="64">
        <f t="shared" si="9"/>
        <v>0</v>
      </c>
      <c r="AF29" s="65"/>
      <c r="AG29" s="59"/>
    </row>
    <row r="30" spans="2:33">
      <c r="B30" s="66" t="s">
        <v>40</v>
      </c>
      <c r="C30" s="58" t="s">
        <v>189</v>
      </c>
      <c r="D30" s="59" t="s">
        <v>51</v>
      </c>
      <c r="E30" s="58" t="s">
        <v>12</v>
      </c>
      <c r="F30" s="60" t="s">
        <v>227</v>
      </c>
      <c r="G30" s="60" t="s">
        <v>429</v>
      </c>
      <c r="H30" s="60" t="s">
        <v>145</v>
      </c>
      <c r="I30" s="62">
        <v>2505836</v>
      </c>
      <c r="J30" s="61" t="s">
        <v>193</v>
      </c>
      <c r="K30" s="63">
        <v>0</v>
      </c>
      <c r="L30" s="62">
        <f t="shared" si="16"/>
        <v>2505836</v>
      </c>
      <c r="M30" s="62">
        <v>0</v>
      </c>
      <c r="N30" s="62">
        <v>2500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100</v>
      </c>
      <c r="U30" s="62">
        <v>0</v>
      </c>
      <c r="V30" s="62">
        <v>468</v>
      </c>
      <c r="W30" s="63">
        <f t="shared" si="4"/>
        <v>9.9767103673185309E-2</v>
      </c>
      <c r="X30" s="62">
        <f t="shared" si="14"/>
        <v>2600</v>
      </c>
      <c r="Y30" s="64">
        <f>SUMIFS(SAP!H:H,SAP!L:L,Retirement!F30,SAP!V:V,Retirement!B30)</f>
        <v>2600</v>
      </c>
      <c r="Z30" s="64">
        <f t="shared" si="7"/>
        <v>0</v>
      </c>
      <c r="AA30" s="64">
        <f t="shared" si="12"/>
        <v>2500</v>
      </c>
      <c r="AB30" s="62">
        <f t="shared" si="13"/>
        <v>100</v>
      </c>
      <c r="AC30" s="62">
        <f t="shared" si="15"/>
        <v>2600</v>
      </c>
      <c r="AD30" s="64">
        <f t="shared" si="5"/>
        <v>0</v>
      </c>
      <c r="AE30" s="64">
        <f t="shared" si="9"/>
        <v>0</v>
      </c>
      <c r="AF30" s="65"/>
      <c r="AG30" s="59"/>
    </row>
    <row r="31" spans="2:33">
      <c r="B31" s="66" t="s">
        <v>40</v>
      </c>
      <c r="C31" s="58" t="s">
        <v>189</v>
      </c>
      <c r="D31" s="59" t="s">
        <v>51</v>
      </c>
      <c r="E31" s="58" t="s">
        <v>12</v>
      </c>
      <c r="F31" s="60" t="s">
        <v>229</v>
      </c>
      <c r="G31" s="60" t="s">
        <v>430</v>
      </c>
      <c r="H31" s="60" t="s">
        <v>155</v>
      </c>
      <c r="I31" s="62">
        <v>7351758</v>
      </c>
      <c r="J31" s="61" t="s">
        <v>193</v>
      </c>
      <c r="K31" s="63">
        <v>0</v>
      </c>
      <c r="L31" s="62">
        <f t="shared" si="16"/>
        <v>7351758</v>
      </c>
      <c r="M31" s="62">
        <v>0</v>
      </c>
      <c r="N31" s="62">
        <v>2500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100</v>
      </c>
      <c r="U31" s="62">
        <v>0</v>
      </c>
      <c r="V31" s="62">
        <v>468</v>
      </c>
      <c r="W31" s="63">
        <f t="shared" si="4"/>
        <v>3.4005471888492525E-2</v>
      </c>
      <c r="X31" s="62">
        <f t="shared" si="14"/>
        <v>2600</v>
      </c>
      <c r="Y31" s="64">
        <f>SUMIFS(SAP!H:H,SAP!L:L,Retirement!F31,SAP!V:V,Retirement!B31)</f>
        <v>2600</v>
      </c>
      <c r="Z31" s="64">
        <f t="shared" si="7"/>
        <v>0</v>
      </c>
      <c r="AA31" s="64">
        <f t="shared" si="12"/>
        <v>2500</v>
      </c>
      <c r="AB31" s="62">
        <f t="shared" si="13"/>
        <v>100</v>
      </c>
      <c r="AC31" s="62">
        <f t="shared" si="15"/>
        <v>2600</v>
      </c>
      <c r="AD31" s="64">
        <f t="shared" si="5"/>
        <v>0</v>
      </c>
      <c r="AE31" s="64">
        <f t="shared" si="9"/>
        <v>0</v>
      </c>
      <c r="AF31" s="65"/>
      <c r="AG31" s="59"/>
    </row>
    <row r="32" spans="2:33">
      <c r="B32" s="66" t="s">
        <v>40</v>
      </c>
      <c r="C32" s="58" t="s">
        <v>189</v>
      </c>
      <c r="D32" s="59" t="s">
        <v>51</v>
      </c>
      <c r="E32" s="58" t="s">
        <v>12</v>
      </c>
      <c r="F32" s="60" t="s">
        <v>230</v>
      </c>
      <c r="G32" s="60" t="s">
        <v>431</v>
      </c>
      <c r="H32" s="60" t="s">
        <v>158</v>
      </c>
      <c r="I32" s="62">
        <v>14341649</v>
      </c>
      <c r="J32" s="61" t="s">
        <v>193</v>
      </c>
      <c r="K32" s="63">
        <v>0</v>
      </c>
      <c r="L32" s="62">
        <f t="shared" si="16"/>
        <v>14341649</v>
      </c>
      <c r="M32" s="62">
        <v>0</v>
      </c>
      <c r="N32" s="62">
        <v>2500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100</v>
      </c>
      <c r="U32" s="62">
        <v>0</v>
      </c>
      <c r="V32" s="62">
        <v>468</v>
      </c>
      <c r="W32" s="63">
        <f t="shared" si="4"/>
        <v>1.7431747214005866E-2</v>
      </c>
      <c r="X32" s="62">
        <f t="shared" si="14"/>
        <v>2600</v>
      </c>
      <c r="Y32" s="64">
        <f>SUMIFS(SAP!H:H,SAP!L:L,Retirement!F32,SAP!V:V,Retirement!B32)</f>
        <v>2600</v>
      </c>
      <c r="Z32" s="64">
        <f t="shared" si="7"/>
        <v>0</v>
      </c>
      <c r="AA32" s="64">
        <f t="shared" si="12"/>
        <v>2500</v>
      </c>
      <c r="AB32" s="62">
        <f t="shared" si="13"/>
        <v>100</v>
      </c>
      <c r="AC32" s="62">
        <f t="shared" si="15"/>
        <v>2600</v>
      </c>
      <c r="AD32" s="64">
        <f t="shared" si="5"/>
        <v>0</v>
      </c>
      <c r="AE32" s="64">
        <f t="shared" si="9"/>
        <v>0</v>
      </c>
      <c r="AF32" s="65"/>
      <c r="AG32" s="59"/>
    </row>
    <row r="33" spans="2:33">
      <c r="B33" s="66" t="s">
        <v>40</v>
      </c>
      <c r="C33" s="58" t="s">
        <v>189</v>
      </c>
      <c r="D33" s="59" t="s">
        <v>51</v>
      </c>
      <c r="E33" s="58" t="s">
        <v>12</v>
      </c>
      <c r="F33" s="60" t="s">
        <v>231</v>
      </c>
      <c r="G33" s="60" t="s">
        <v>432</v>
      </c>
      <c r="H33" s="60" t="s">
        <v>162</v>
      </c>
      <c r="I33" s="62">
        <v>2593975</v>
      </c>
      <c r="J33" s="61" t="s">
        <v>193</v>
      </c>
      <c r="K33" s="63">
        <v>0</v>
      </c>
      <c r="L33" s="62">
        <f t="shared" si="16"/>
        <v>2593975</v>
      </c>
      <c r="M33" s="62">
        <v>0</v>
      </c>
      <c r="N33" s="62">
        <v>2500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>
        <v>100</v>
      </c>
      <c r="U33" s="62">
        <v>0</v>
      </c>
      <c r="V33" s="62">
        <v>468</v>
      </c>
      <c r="W33" s="63">
        <f t="shared" si="4"/>
        <v>9.6377181738451612E-2</v>
      </c>
      <c r="X33" s="62">
        <f t="shared" si="14"/>
        <v>2600</v>
      </c>
      <c r="Y33" s="64">
        <f>SUMIFS(SAP!H:H,SAP!L:L,Retirement!F33,SAP!V:V,Retirement!B33)</f>
        <v>2600</v>
      </c>
      <c r="Z33" s="64">
        <f t="shared" si="7"/>
        <v>0</v>
      </c>
      <c r="AA33" s="64">
        <f t="shared" si="12"/>
        <v>2500</v>
      </c>
      <c r="AB33" s="62">
        <f t="shared" si="13"/>
        <v>100</v>
      </c>
      <c r="AC33" s="62">
        <f t="shared" si="15"/>
        <v>2600</v>
      </c>
      <c r="AD33" s="64">
        <f t="shared" si="5"/>
        <v>0</v>
      </c>
      <c r="AE33" s="64">
        <f t="shared" si="9"/>
        <v>0</v>
      </c>
      <c r="AF33" s="65"/>
      <c r="AG33" s="59"/>
    </row>
    <row r="34" spans="2:33">
      <c r="B34" s="66" t="s">
        <v>40</v>
      </c>
      <c r="C34" s="58" t="s">
        <v>189</v>
      </c>
      <c r="D34" s="59" t="s">
        <v>51</v>
      </c>
      <c r="E34" s="58" t="s">
        <v>12</v>
      </c>
      <c r="F34" s="60" t="s">
        <v>232</v>
      </c>
      <c r="G34" s="60" t="s">
        <v>433</v>
      </c>
      <c r="H34" s="60" t="s">
        <v>162</v>
      </c>
      <c r="I34" s="62">
        <v>2592382</v>
      </c>
      <c r="J34" s="61" t="s">
        <v>193</v>
      </c>
      <c r="K34" s="63">
        <v>0</v>
      </c>
      <c r="L34" s="62">
        <f t="shared" si="16"/>
        <v>2592382</v>
      </c>
      <c r="M34" s="62">
        <v>0</v>
      </c>
      <c r="N34" s="62">
        <v>2500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100</v>
      </c>
      <c r="U34" s="62">
        <v>0</v>
      </c>
      <c r="V34" s="62">
        <v>468</v>
      </c>
      <c r="W34" s="63">
        <f t="shared" si="4"/>
        <v>9.6436404819968666E-2</v>
      </c>
      <c r="X34" s="62">
        <f t="shared" si="14"/>
        <v>2600</v>
      </c>
      <c r="Y34" s="64">
        <f>SUMIFS(SAP!H:H,SAP!L:L,Retirement!F34,SAP!V:V,Retirement!B34)</f>
        <v>2600</v>
      </c>
      <c r="Z34" s="64">
        <f t="shared" si="7"/>
        <v>0</v>
      </c>
      <c r="AA34" s="64">
        <f t="shared" si="12"/>
        <v>2500</v>
      </c>
      <c r="AB34" s="62">
        <f t="shared" si="13"/>
        <v>100</v>
      </c>
      <c r="AC34" s="62">
        <f t="shared" si="15"/>
        <v>2600</v>
      </c>
      <c r="AD34" s="64">
        <f t="shared" si="5"/>
        <v>0</v>
      </c>
      <c r="AE34" s="64">
        <f t="shared" si="9"/>
        <v>0</v>
      </c>
      <c r="AF34" s="65"/>
      <c r="AG34" s="59"/>
    </row>
    <row r="35" spans="2:33">
      <c r="B35" s="66" t="s">
        <v>40</v>
      </c>
      <c r="C35" s="58" t="s">
        <v>90</v>
      </c>
      <c r="D35" s="59" t="s">
        <v>51</v>
      </c>
      <c r="E35" s="58" t="s">
        <v>434</v>
      </c>
      <c r="F35" s="60" t="s">
        <v>239</v>
      </c>
      <c r="G35" s="60" t="s">
        <v>435</v>
      </c>
      <c r="H35" s="60" t="s">
        <v>350</v>
      </c>
      <c r="I35" s="62">
        <v>82280.67</v>
      </c>
      <c r="J35" s="61" t="s">
        <v>96</v>
      </c>
      <c r="K35" s="61">
        <v>109.87</v>
      </c>
      <c r="L35" s="62">
        <f t="shared" ref="L35:L39" si="17">I35*K35</f>
        <v>9040177.2128999997</v>
      </c>
      <c r="M35" s="62">
        <v>12964.66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3">
        <v>7185.18</v>
      </c>
      <c r="T35" s="62">
        <v>0</v>
      </c>
      <c r="U35" s="62">
        <v>0</v>
      </c>
      <c r="V35" s="62">
        <v>0</v>
      </c>
      <c r="W35" s="63">
        <f>IFERROR(M35/L35*100,0)</f>
        <v>0.14341156920574419</v>
      </c>
      <c r="X35" s="62">
        <f t="shared" si="14"/>
        <v>20149.84</v>
      </c>
      <c r="Y35" s="64">
        <f>SUMIFS(SAP!H:H,SAP!L:L,Retirement!F35,SAP!V:V,Retirement!B35)</f>
        <v>20149.84</v>
      </c>
      <c r="Z35" s="64">
        <f t="shared" si="7"/>
        <v>0</v>
      </c>
      <c r="AA35" s="64">
        <f>M35</f>
        <v>12964.66</v>
      </c>
      <c r="AB35" s="62">
        <f>S35</f>
        <v>7185.18</v>
      </c>
      <c r="AC35" s="62">
        <f t="shared" si="15"/>
        <v>20149.84</v>
      </c>
      <c r="AD35" s="64">
        <f t="shared" si="5"/>
        <v>0</v>
      </c>
      <c r="AE35" s="64">
        <f t="shared" si="9"/>
        <v>7185.18</v>
      </c>
      <c r="AF35" s="65"/>
      <c r="AG35" s="59"/>
    </row>
    <row r="36" spans="2:33">
      <c r="B36" s="66" t="s">
        <v>40</v>
      </c>
      <c r="C36" s="58" t="s">
        <v>90</v>
      </c>
      <c r="D36" s="59" t="s">
        <v>51</v>
      </c>
      <c r="E36" s="58" t="s">
        <v>434</v>
      </c>
      <c r="F36" s="60" t="s">
        <v>240</v>
      </c>
      <c r="G36" s="60" t="s">
        <v>436</v>
      </c>
      <c r="H36" s="60" t="s">
        <v>350</v>
      </c>
      <c r="I36" s="62">
        <v>110947.04</v>
      </c>
      <c r="J36" s="61" t="s">
        <v>96</v>
      </c>
      <c r="K36" s="61">
        <v>109.87</v>
      </c>
      <c r="L36" s="62">
        <f t="shared" si="17"/>
        <v>12189751.2848</v>
      </c>
      <c r="M36" s="62">
        <v>12964.66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3">
        <v>9688.2000000000007</v>
      </c>
      <c r="T36" s="62">
        <v>0</v>
      </c>
      <c r="U36" s="62">
        <v>0</v>
      </c>
      <c r="V36" s="62">
        <v>0</v>
      </c>
      <c r="W36" s="63">
        <f t="shared" ref="W36:W52" si="18">IFERROR(M36/L36*100,0)</f>
        <v>0.10635705107590071</v>
      </c>
      <c r="X36" s="62">
        <f t="shared" si="14"/>
        <v>22652.86</v>
      </c>
      <c r="Y36" s="64">
        <f>SUMIFS(SAP!H:H,SAP!L:L,Retirement!F36,SAP!V:V,Retirement!B36)</f>
        <v>22652.86</v>
      </c>
      <c r="Z36" s="64">
        <f t="shared" si="7"/>
        <v>0</v>
      </c>
      <c r="AA36" s="64">
        <f t="shared" ref="AA36:AA52" si="19">M36</f>
        <v>12964.66</v>
      </c>
      <c r="AB36" s="62">
        <f t="shared" ref="AB36:AB39" si="20">S36</f>
        <v>9688.2000000000007</v>
      </c>
      <c r="AC36" s="62">
        <f t="shared" si="15"/>
        <v>22652.86</v>
      </c>
      <c r="AD36" s="64">
        <f t="shared" si="5"/>
        <v>0</v>
      </c>
      <c r="AE36" s="64">
        <f t="shared" si="9"/>
        <v>9688.2000000000007</v>
      </c>
      <c r="AF36" s="65"/>
      <c r="AG36" s="59"/>
    </row>
    <row r="37" spans="2:33">
      <c r="B37" s="66" t="s">
        <v>40</v>
      </c>
      <c r="C37" s="58" t="s">
        <v>90</v>
      </c>
      <c r="D37" s="59" t="s">
        <v>51</v>
      </c>
      <c r="E37" s="58" t="s">
        <v>434</v>
      </c>
      <c r="F37" s="60" t="s">
        <v>241</v>
      </c>
      <c r="G37" s="60" t="s">
        <v>437</v>
      </c>
      <c r="H37" s="60" t="s">
        <v>350</v>
      </c>
      <c r="I37" s="62">
        <v>40032.910000000003</v>
      </c>
      <c r="J37" s="61" t="s">
        <v>96</v>
      </c>
      <c r="K37" s="61">
        <v>109.87</v>
      </c>
      <c r="L37" s="62">
        <f t="shared" si="17"/>
        <v>4398415.8217000002</v>
      </c>
      <c r="M37" s="62">
        <v>12964.66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3">
        <v>3516.45</v>
      </c>
      <c r="T37" s="62">
        <v>0</v>
      </c>
      <c r="U37" s="62">
        <v>0</v>
      </c>
      <c r="V37" s="62">
        <v>0</v>
      </c>
      <c r="W37" s="63">
        <f t="shared" si="18"/>
        <v>0.29475748827652049</v>
      </c>
      <c r="X37" s="62">
        <f t="shared" si="14"/>
        <v>16481.11</v>
      </c>
      <c r="Y37" s="64">
        <f>SUMIFS(SAP!H:H,SAP!L:L,Retirement!F37,SAP!V:V,Retirement!B37)</f>
        <v>16481.11</v>
      </c>
      <c r="Z37" s="64">
        <f t="shared" si="7"/>
        <v>0</v>
      </c>
      <c r="AA37" s="64">
        <f t="shared" si="19"/>
        <v>12964.66</v>
      </c>
      <c r="AB37" s="62">
        <f t="shared" si="20"/>
        <v>3516.45</v>
      </c>
      <c r="AC37" s="62">
        <f t="shared" si="15"/>
        <v>16481.11</v>
      </c>
      <c r="AD37" s="64">
        <f t="shared" si="5"/>
        <v>0</v>
      </c>
      <c r="AE37" s="64">
        <f t="shared" si="9"/>
        <v>3516.45</v>
      </c>
      <c r="AF37" s="65"/>
      <c r="AG37" s="59"/>
    </row>
    <row r="38" spans="2:33">
      <c r="B38" s="66" t="s">
        <v>40</v>
      </c>
      <c r="C38" s="58" t="s">
        <v>90</v>
      </c>
      <c r="D38" s="59" t="s">
        <v>51</v>
      </c>
      <c r="E38" s="58" t="s">
        <v>434</v>
      </c>
      <c r="F38" s="60" t="s">
        <v>243</v>
      </c>
      <c r="G38" s="60" t="s">
        <v>438</v>
      </c>
      <c r="H38" s="60" t="s">
        <v>350</v>
      </c>
      <c r="I38" s="62">
        <v>238014.1</v>
      </c>
      <c r="J38" s="61" t="s">
        <v>96</v>
      </c>
      <c r="K38" s="61">
        <v>109.87</v>
      </c>
      <c r="L38" s="62">
        <f t="shared" si="17"/>
        <v>26150609.167000003</v>
      </c>
      <c r="M38" s="62">
        <v>12964.66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3">
        <v>20979.65</v>
      </c>
      <c r="T38" s="62">
        <v>0</v>
      </c>
      <c r="U38" s="62">
        <v>0</v>
      </c>
      <c r="V38" s="62">
        <v>0</v>
      </c>
      <c r="W38" s="63">
        <f t="shared" si="18"/>
        <v>4.9576894814214789E-2</v>
      </c>
      <c r="X38" s="62">
        <f t="shared" si="14"/>
        <v>33944.31</v>
      </c>
      <c r="Y38" s="64">
        <f>SUMIFS(SAP!H:H,SAP!L:L,Retirement!F38,SAP!V:V,Retirement!B38)</f>
        <v>33944.31</v>
      </c>
      <c r="Z38" s="64">
        <f t="shared" si="7"/>
        <v>0</v>
      </c>
      <c r="AA38" s="64">
        <f t="shared" si="19"/>
        <v>12964.66</v>
      </c>
      <c r="AB38" s="62">
        <f t="shared" si="20"/>
        <v>20979.65</v>
      </c>
      <c r="AC38" s="62">
        <f t="shared" si="15"/>
        <v>33944.31</v>
      </c>
      <c r="AD38" s="64">
        <f t="shared" si="5"/>
        <v>0</v>
      </c>
      <c r="AE38" s="64">
        <f t="shared" si="9"/>
        <v>20979.65</v>
      </c>
      <c r="AF38" s="65"/>
      <c r="AG38" s="59"/>
    </row>
    <row r="39" spans="2:33">
      <c r="B39" s="66" t="s">
        <v>40</v>
      </c>
      <c r="C39" s="58" t="s">
        <v>90</v>
      </c>
      <c r="D39" s="59" t="s">
        <v>51</v>
      </c>
      <c r="E39" s="58" t="s">
        <v>434</v>
      </c>
      <c r="F39" s="60" t="s">
        <v>242</v>
      </c>
      <c r="G39" s="60" t="s">
        <v>439</v>
      </c>
      <c r="H39" s="60" t="s">
        <v>350</v>
      </c>
      <c r="I39" s="62">
        <v>32599.25</v>
      </c>
      <c r="J39" s="61" t="s">
        <v>96</v>
      </c>
      <c r="K39" s="61">
        <v>109.87</v>
      </c>
      <c r="L39" s="62">
        <f t="shared" si="17"/>
        <v>3581679.5975000001</v>
      </c>
      <c r="M39" s="62">
        <v>12964.66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3">
        <v>2863.35</v>
      </c>
      <c r="T39" s="62">
        <v>0</v>
      </c>
      <c r="U39" s="62">
        <v>0</v>
      </c>
      <c r="V39" s="62">
        <v>0</v>
      </c>
      <c r="W39" s="63">
        <f t="shared" si="18"/>
        <v>0.36197151774964148</v>
      </c>
      <c r="X39" s="62">
        <f t="shared" si="14"/>
        <v>15828.01</v>
      </c>
      <c r="Y39" s="64">
        <f>SUMIFS(SAP!H:H,SAP!L:L,Retirement!F39,SAP!V:V,Retirement!B39)</f>
        <v>15828.01</v>
      </c>
      <c r="Z39" s="64">
        <f t="shared" si="7"/>
        <v>0</v>
      </c>
      <c r="AA39" s="64">
        <f t="shared" si="19"/>
        <v>12964.66</v>
      </c>
      <c r="AB39" s="62">
        <f t="shared" si="20"/>
        <v>2863.35</v>
      </c>
      <c r="AC39" s="62">
        <f t="shared" si="15"/>
        <v>15828.01</v>
      </c>
      <c r="AD39" s="64">
        <f t="shared" si="5"/>
        <v>0</v>
      </c>
      <c r="AE39" s="64">
        <f t="shared" si="9"/>
        <v>2863.35</v>
      </c>
      <c r="AF39" s="65"/>
      <c r="AG39" s="59"/>
    </row>
    <row r="40" spans="2:33">
      <c r="B40" s="66" t="s">
        <v>40</v>
      </c>
      <c r="C40" s="58" t="s">
        <v>90</v>
      </c>
      <c r="D40" s="59" t="s">
        <v>51</v>
      </c>
      <c r="E40" s="58" t="s">
        <v>440</v>
      </c>
      <c r="F40" s="60" t="s">
        <v>244</v>
      </c>
      <c r="G40" s="60" t="s">
        <v>441</v>
      </c>
      <c r="H40" s="60" t="s">
        <v>350</v>
      </c>
      <c r="I40" s="62">
        <v>170906.2</v>
      </c>
      <c r="J40" s="61" t="s">
        <v>96</v>
      </c>
      <c r="K40" s="61">
        <v>109.87</v>
      </c>
      <c r="L40" s="62">
        <f t="shared" ref="L40:L54" si="21">I40*K40</f>
        <v>18777464.194000002</v>
      </c>
      <c r="M40" s="62">
        <v>15381.8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3">
        <f t="shared" si="18"/>
        <v>8.1916279222169805E-2</v>
      </c>
      <c r="X40" s="62">
        <f t="shared" ref="X40:X56" si="22">SUM(M40:U40)</f>
        <v>15381.8</v>
      </c>
      <c r="Y40" s="64">
        <f>SUMIFS(SAP!H:H,SAP!L:L,Retirement!F40,SAP!V:V,Retirement!B40)</f>
        <v>15381.8</v>
      </c>
      <c r="Z40" s="64">
        <f t="shared" si="7"/>
        <v>0</v>
      </c>
      <c r="AA40" s="64">
        <f>M40</f>
        <v>15381.8</v>
      </c>
      <c r="AB40" s="62">
        <f t="shared" ref="AB40:AB56" si="23">U40</f>
        <v>0</v>
      </c>
      <c r="AC40" s="62">
        <f t="shared" ref="AC40:AC56" si="24">AA40+AB40</f>
        <v>15381.8</v>
      </c>
      <c r="AD40" s="64">
        <f t="shared" si="5"/>
        <v>0</v>
      </c>
      <c r="AE40" s="64">
        <f t="shared" si="9"/>
        <v>0</v>
      </c>
      <c r="AF40" s="65"/>
      <c r="AG40" s="59"/>
    </row>
    <row r="41" spans="2:33">
      <c r="B41" s="66" t="s">
        <v>40</v>
      </c>
      <c r="C41" s="58" t="s">
        <v>90</v>
      </c>
      <c r="D41" s="59" t="s">
        <v>51</v>
      </c>
      <c r="E41" s="58" t="s">
        <v>440</v>
      </c>
      <c r="F41" s="60" t="s">
        <v>246</v>
      </c>
      <c r="G41" s="60" t="s">
        <v>442</v>
      </c>
      <c r="H41" s="60" t="s">
        <v>443</v>
      </c>
      <c r="I41" s="62">
        <v>76750.820000000007</v>
      </c>
      <c r="J41" s="61" t="s">
        <v>96</v>
      </c>
      <c r="K41" s="61">
        <v>113.13</v>
      </c>
      <c r="L41" s="62">
        <f t="shared" si="21"/>
        <v>8682820.2665999997</v>
      </c>
      <c r="M41" s="62">
        <v>15838.2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3">
        <f t="shared" si="18"/>
        <v>0.18240847459349621</v>
      </c>
      <c r="X41" s="62">
        <f t="shared" si="22"/>
        <v>15838.2</v>
      </c>
      <c r="Y41" s="64">
        <f>SUMIFS(SAP!H:H,SAP!L:L,Retirement!F41,SAP!V:V,Retirement!B41,SAP!P:P, "Retirement Chgs")</f>
        <v>15838.2</v>
      </c>
      <c r="Z41" s="64">
        <f t="shared" si="7"/>
        <v>0</v>
      </c>
      <c r="AA41" s="64">
        <f t="shared" si="19"/>
        <v>15838.2</v>
      </c>
      <c r="AB41" s="62">
        <f t="shared" si="23"/>
        <v>0</v>
      </c>
      <c r="AC41" s="62">
        <f t="shared" si="24"/>
        <v>15838.2</v>
      </c>
      <c r="AD41" s="64">
        <f t="shared" si="5"/>
        <v>0</v>
      </c>
      <c r="AE41" s="64">
        <f t="shared" si="9"/>
        <v>0</v>
      </c>
      <c r="AF41" s="65"/>
      <c r="AG41" s="59"/>
    </row>
    <row r="42" spans="2:33">
      <c r="B42" s="66" t="s">
        <v>40</v>
      </c>
      <c r="C42" s="58" t="s">
        <v>90</v>
      </c>
      <c r="D42" s="59" t="s">
        <v>51</v>
      </c>
      <c r="E42" s="58" t="s">
        <v>444</v>
      </c>
      <c r="F42" s="60" t="s">
        <v>248</v>
      </c>
      <c r="G42" s="60" t="s">
        <v>445</v>
      </c>
      <c r="H42" s="60" t="s">
        <v>443</v>
      </c>
      <c r="I42" s="62">
        <v>104306.16</v>
      </c>
      <c r="J42" s="61" t="s">
        <v>96</v>
      </c>
      <c r="K42" s="61">
        <v>113.13</v>
      </c>
      <c r="L42" s="62">
        <f t="shared" si="21"/>
        <v>11800155.880799999</v>
      </c>
      <c r="M42" s="62">
        <v>18666.45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3">
        <v>1763.73</v>
      </c>
      <c r="T42" s="62">
        <v>0</v>
      </c>
      <c r="U42" s="62">
        <v>0</v>
      </c>
      <c r="V42" s="62">
        <v>0</v>
      </c>
      <c r="W42" s="63">
        <f t="shared" si="18"/>
        <v>0.15818816453409848</v>
      </c>
      <c r="X42" s="62">
        <f t="shared" si="22"/>
        <v>20430.18</v>
      </c>
      <c r="Y42" s="64">
        <f>SUMIFS(SAP!H:H,SAP!L:L,Retirement!F42,SAP!V:V,Retirement!B42)</f>
        <v>20430.18</v>
      </c>
      <c r="Z42" s="64">
        <f t="shared" si="7"/>
        <v>0</v>
      </c>
      <c r="AA42" s="64">
        <f t="shared" si="19"/>
        <v>18666.45</v>
      </c>
      <c r="AB42" s="62">
        <f>S42</f>
        <v>1763.73</v>
      </c>
      <c r="AC42" s="62">
        <f t="shared" si="24"/>
        <v>20430.18</v>
      </c>
      <c r="AD42" s="64">
        <f t="shared" si="5"/>
        <v>0</v>
      </c>
      <c r="AE42" s="64">
        <f t="shared" si="9"/>
        <v>1763.73</v>
      </c>
      <c r="AF42" s="65"/>
      <c r="AG42" s="59"/>
    </row>
    <row r="43" spans="2:33">
      <c r="B43" s="66" t="s">
        <v>40</v>
      </c>
      <c r="C43" s="58" t="s">
        <v>90</v>
      </c>
      <c r="D43" s="59" t="s">
        <v>51</v>
      </c>
      <c r="E43" s="58" t="s">
        <v>446</v>
      </c>
      <c r="F43" s="60" t="s">
        <v>249</v>
      </c>
      <c r="G43" s="60" t="s">
        <v>447</v>
      </c>
      <c r="H43" s="60" t="s">
        <v>448</v>
      </c>
      <c r="I43" s="62">
        <v>255325.54</v>
      </c>
      <c r="J43" s="61" t="s">
        <v>96</v>
      </c>
      <c r="K43" s="61">
        <v>113.13</v>
      </c>
      <c r="L43" s="62">
        <f t="shared" si="21"/>
        <v>28884978.3402</v>
      </c>
      <c r="M43" s="62">
        <v>3959.55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3">
        <f t="shared" si="18"/>
        <v>1.370799019949199E-2</v>
      </c>
      <c r="X43" s="62">
        <f t="shared" si="22"/>
        <v>3959.55</v>
      </c>
      <c r="Y43" s="64">
        <f>SUMIFS(SAP!H:H,SAP!L:L,Retirement!F43,SAP!V:V,Retirement!B43)</f>
        <v>3959.55</v>
      </c>
      <c r="Z43" s="64">
        <f t="shared" si="7"/>
        <v>0</v>
      </c>
      <c r="AA43" s="64">
        <f t="shared" si="19"/>
        <v>3959.55</v>
      </c>
      <c r="AB43" s="62">
        <f t="shared" si="23"/>
        <v>0</v>
      </c>
      <c r="AC43" s="62">
        <f t="shared" si="24"/>
        <v>3959.55</v>
      </c>
      <c r="AD43" s="64">
        <f t="shared" si="5"/>
        <v>0</v>
      </c>
      <c r="AE43" s="64">
        <f t="shared" si="9"/>
        <v>0</v>
      </c>
      <c r="AF43" s="65"/>
      <c r="AG43" s="59"/>
    </row>
    <row r="44" spans="2:33">
      <c r="B44" s="66" t="s">
        <v>40</v>
      </c>
      <c r="C44" s="58" t="s">
        <v>90</v>
      </c>
      <c r="D44" s="59" t="s">
        <v>51</v>
      </c>
      <c r="E44" s="58" t="s">
        <v>440</v>
      </c>
      <c r="F44" s="60" t="s">
        <v>251</v>
      </c>
      <c r="G44" s="60" t="s">
        <v>449</v>
      </c>
      <c r="H44" s="60" t="s">
        <v>145</v>
      </c>
      <c r="I44" s="62">
        <v>547919.68000000005</v>
      </c>
      <c r="J44" s="61" t="s">
        <v>96</v>
      </c>
      <c r="K44" s="61">
        <v>112.95</v>
      </c>
      <c r="L44" s="62">
        <f t="shared" si="21"/>
        <v>61887527.856000006</v>
      </c>
      <c r="M44" s="62">
        <v>4518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3">
        <f t="shared" si="18"/>
        <v>7.3003400790422404E-3</v>
      </c>
      <c r="X44" s="62">
        <f t="shared" si="22"/>
        <v>4518</v>
      </c>
      <c r="Y44" s="64">
        <f>SUMIFS(SAP!H:H,SAP!L:L,Retirement!F44,SAP!V:V,Retirement!B44)</f>
        <v>4518</v>
      </c>
      <c r="Z44" s="64">
        <f t="shared" si="7"/>
        <v>0</v>
      </c>
      <c r="AA44" s="64">
        <f t="shared" si="19"/>
        <v>4518</v>
      </c>
      <c r="AB44" s="62">
        <f t="shared" si="23"/>
        <v>0</v>
      </c>
      <c r="AC44" s="62">
        <f t="shared" si="24"/>
        <v>4518</v>
      </c>
      <c r="AD44" s="64">
        <f t="shared" si="5"/>
        <v>0</v>
      </c>
      <c r="AE44" s="64">
        <f t="shared" si="9"/>
        <v>0</v>
      </c>
      <c r="AF44" s="65"/>
      <c r="AG44" s="59"/>
    </row>
    <row r="45" spans="2:33">
      <c r="B45" s="66" t="s">
        <v>40</v>
      </c>
      <c r="C45" s="58" t="s">
        <v>90</v>
      </c>
      <c r="D45" s="59" t="s">
        <v>51</v>
      </c>
      <c r="E45" s="58" t="s">
        <v>434</v>
      </c>
      <c r="F45" s="60" t="s">
        <v>252</v>
      </c>
      <c r="G45" s="60" t="s">
        <v>450</v>
      </c>
      <c r="H45" s="60" t="s">
        <v>350</v>
      </c>
      <c r="I45" s="62">
        <v>188650.1</v>
      </c>
      <c r="J45" s="61" t="s">
        <v>96</v>
      </c>
      <c r="K45" s="61">
        <v>109.87</v>
      </c>
      <c r="L45" s="62">
        <f t="shared" si="21"/>
        <v>20726986.487</v>
      </c>
      <c r="M45" s="62">
        <v>12964.66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3">
        <v>6746.76</v>
      </c>
      <c r="T45" s="62">
        <v>0</v>
      </c>
      <c r="U45" s="62">
        <v>0</v>
      </c>
      <c r="V45" s="62">
        <v>0</v>
      </c>
      <c r="W45" s="63">
        <f t="shared" si="18"/>
        <v>6.2549662046296292E-2</v>
      </c>
      <c r="X45" s="62">
        <f t="shared" si="22"/>
        <v>19711.419999999998</v>
      </c>
      <c r="Y45" s="64">
        <f>SUMIFS(SAP!H:H,SAP!L:L,Retirement!F45,SAP!V:V,Retirement!B45)</f>
        <v>19711.419999999998</v>
      </c>
      <c r="Z45" s="64">
        <f t="shared" si="7"/>
        <v>0</v>
      </c>
      <c r="AA45" s="64">
        <f t="shared" si="19"/>
        <v>12964.66</v>
      </c>
      <c r="AB45" s="62">
        <f>S45</f>
        <v>6746.76</v>
      </c>
      <c r="AC45" s="62">
        <f t="shared" si="24"/>
        <v>19711.419999999998</v>
      </c>
      <c r="AD45" s="64">
        <f t="shared" si="5"/>
        <v>0</v>
      </c>
      <c r="AE45" s="64">
        <f t="shared" si="9"/>
        <v>6746.76</v>
      </c>
      <c r="AF45" s="65"/>
      <c r="AG45" s="59"/>
    </row>
    <row r="46" spans="2:33">
      <c r="B46" s="66" t="s">
        <v>40</v>
      </c>
      <c r="C46" s="58" t="s">
        <v>90</v>
      </c>
      <c r="D46" s="59" t="s">
        <v>51</v>
      </c>
      <c r="E46" s="58" t="s">
        <v>446</v>
      </c>
      <c r="F46" s="60" t="s">
        <v>253</v>
      </c>
      <c r="G46" s="60" t="s">
        <v>451</v>
      </c>
      <c r="H46" s="60" t="s">
        <v>162</v>
      </c>
      <c r="I46" s="62">
        <v>240712.5</v>
      </c>
      <c r="J46" s="61" t="s">
        <v>96</v>
      </c>
      <c r="K46" s="61">
        <v>113.9</v>
      </c>
      <c r="L46" s="62">
        <f t="shared" si="21"/>
        <v>27417153.75</v>
      </c>
      <c r="M46" s="62">
        <v>6264.5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>
        <v>0</v>
      </c>
      <c r="U46" s="62">
        <v>0</v>
      </c>
      <c r="V46" s="62">
        <v>0</v>
      </c>
      <c r="W46" s="63">
        <f t="shared" si="18"/>
        <v>2.2848834190164615E-2</v>
      </c>
      <c r="X46" s="62">
        <f t="shared" si="22"/>
        <v>6264.5</v>
      </c>
      <c r="Y46" s="64">
        <f>SUMIFS(SAP!H:H,SAP!L:L,Retirement!F46,SAP!V:V,Retirement!B46)</f>
        <v>6264.5</v>
      </c>
      <c r="Z46" s="64">
        <f t="shared" si="7"/>
        <v>0</v>
      </c>
      <c r="AA46" s="64">
        <f t="shared" si="19"/>
        <v>6264.5</v>
      </c>
      <c r="AB46" s="62">
        <f t="shared" si="23"/>
        <v>0</v>
      </c>
      <c r="AC46" s="62">
        <f t="shared" si="24"/>
        <v>6264.5</v>
      </c>
      <c r="AD46" s="64">
        <f t="shared" si="5"/>
        <v>0</v>
      </c>
      <c r="AE46" s="64">
        <f t="shared" si="9"/>
        <v>0</v>
      </c>
      <c r="AF46" s="65"/>
      <c r="AG46" s="59"/>
    </row>
    <row r="47" spans="2:33">
      <c r="B47" s="66" t="s">
        <v>40</v>
      </c>
      <c r="C47" s="58" t="s">
        <v>90</v>
      </c>
      <c r="D47" s="59" t="s">
        <v>51</v>
      </c>
      <c r="E47" s="58" t="s">
        <v>102</v>
      </c>
      <c r="F47" s="60" t="s">
        <v>452</v>
      </c>
      <c r="G47" s="60" t="s">
        <v>453</v>
      </c>
      <c r="H47" s="60" t="s">
        <v>350</v>
      </c>
      <c r="I47" s="62">
        <v>406021.91</v>
      </c>
      <c r="J47" s="61" t="s">
        <v>96</v>
      </c>
      <c r="K47" s="61">
        <v>109.02979999999999</v>
      </c>
      <c r="L47" s="62">
        <f t="shared" si="21"/>
        <v>44268487.642917998</v>
      </c>
      <c r="M47" s="62"/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3">
        <f>6762.03</f>
        <v>6762.03</v>
      </c>
      <c r="T47" s="62">
        <v>0</v>
      </c>
      <c r="U47" s="62">
        <v>0</v>
      </c>
      <c r="V47" s="62">
        <v>0</v>
      </c>
      <c r="W47" s="63">
        <f>IFERROR(S47/L47*100,0)</f>
        <v>1.5275041818786368E-2</v>
      </c>
      <c r="X47" s="62">
        <f t="shared" si="22"/>
        <v>6762.03</v>
      </c>
      <c r="Y47" s="64">
        <f>SUMIFS(SAP!H:H,SAP!L:L,Retirement!F47,SAP!V:V,Retirement!B47,SAP!P:P, "penal interest")</f>
        <v>6762.03</v>
      </c>
      <c r="Z47" s="64">
        <f t="shared" si="7"/>
        <v>0</v>
      </c>
      <c r="AA47" s="64">
        <f t="shared" ref="AA47" si="25">O47</f>
        <v>0</v>
      </c>
      <c r="AB47" s="62">
        <f>S47</f>
        <v>6762.03</v>
      </c>
      <c r="AC47" s="62">
        <f t="shared" si="24"/>
        <v>6762.03</v>
      </c>
      <c r="AD47" s="64">
        <f t="shared" si="5"/>
        <v>0</v>
      </c>
      <c r="AE47" s="64">
        <f t="shared" si="9"/>
        <v>6762.03</v>
      </c>
      <c r="AF47" s="65"/>
      <c r="AG47" s="59"/>
    </row>
    <row r="48" spans="2:33">
      <c r="B48" s="66" t="s">
        <v>40</v>
      </c>
      <c r="C48" s="58" t="s">
        <v>90</v>
      </c>
      <c r="D48" s="59" t="s">
        <v>51</v>
      </c>
      <c r="E48" s="58" t="s">
        <v>102</v>
      </c>
      <c r="F48" s="60" t="s">
        <v>254</v>
      </c>
      <c r="G48" s="60" t="s">
        <v>454</v>
      </c>
      <c r="H48" s="60" t="s">
        <v>103</v>
      </c>
      <c r="I48" s="62">
        <v>250827.2</v>
      </c>
      <c r="J48" s="61" t="s">
        <v>96</v>
      </c>
      <c r="K48" s="61">
        <v>113.13</v>
      </c>
      <c r="L48" s="62">
        <f t="shared" si="21"/>
        <v>28376081.136</v>
      </c>
      <c r="M48" s="62">
        <v>5656.5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62">
        <v>0</v>
      </c>
      <c r="W48" s="63">
        <f t="shared" si="18"/>
        <v>1.993404224103287E-2</v>
      </c>
      <c r="X48" s="62">
        <f t="shared" si="22"/>
        <v>5656.5</v>
      </c>
      <c r="Y48" s="64">
        <f>SUMIFS(SAP!H:H,SAP!L:L,Retirement!F48,SAP!V:V,Retirement!B48)</f>
        <v>5656.5</v>
      </c>
      <c r="Z48" s="64">
        <f t="shared" si="7"/>
        <v>0</v>
      </c>
      <c r="AA48" s="64">
        <f t="shared" si="19"/>
        <v>5656.5</v>
      </c>
      <c r="AB48" s="62">
        <f t="shared" si="23"/>
        <v>0</v>
      </c>
      <c r="AC48" s="62">
        <f t="shared" si="24"/>
        <v>5656.5</v>
      </c>
      <c r="AD48" s="64">
        <f t="shared" si="5"/>
        <v>0</v>
      </c>
      <c r="AE48" s="64">
        <f t="shared" si="9"/>
        <v>0</v>
      </c>
      <c r="AF48" s="65"/>
      <c r="AG48" s="59"/>
    </row>
    <row r="49" spans="2:33">
      <c r="B49" s="66" t="s">
        <v>40</v>
      </c>
      <c r="C49" s="58" t="s">
        <v>90</v>
      </c>
      <c r="D49" s="59" t="s">
        <v>51</v>
      </c>
      <c r="E49" s="58" t="s">
        <v>121</v>
      </c>
      <c r="F49" s="60" t="s">
        <v>256</v>
      </c>
      <c r="G49" s="60" t="s">
        <v>455</v>
      </c>
      <c r="H49" s="60" t="s">
        <v>417</v>
      </c>
      <c r="I49" s="62">
        <v>543960.24</v>
      </c>
      <c r="J49" s="61" t="s">
        <v>96</v>
      </c>
      <c r="K49" s="61">
        <v>110.86</v>
      </c>
      <c r="L49" s="62">
        <f t="shared" si="21"/>
        <v>60303432.2064</v>
      </c>
      <c r="M49" s="62">
        <v>25497.8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3">
        <f t="shared" si="18"/>
        <v>4.2282502118169515E-2</v>
      </c>
      <c r="X49" s="62">
        <f t="shared" si="22"/>
        <v>25497.8</v>
      </c>
      <c r="Y49" s="64">
        <f>SUMIFS(SAP!H:H,SAP!L:L,Retirement!F49,SAP!V:V,Retirement!B49)</f>
        <v>25497.8</v>
      </c>
      <c r="Z49" s="64">
        <f t="shared" si="7"/>
        <v>0</v>
      </c>
      <c r="AA49" s="64">
        <f t="shared" si="19"/>
        <v>25497.8</v>
      </c>
      <c r="AB49" s="62">
        <f t="shared" si="23"/>
        <v>0</v>
      </c>
      <c r="AC49" s="62">
        <f t="shared" si="24"/>
        <v>25497.8</v>
      </c>
      <c r="AD49" s="64">
        <f t="shared" si="5"/>
        <v>0</v>
      </c>
      <c r="AE49" s="64">
        <f t="shared" si="9"/>
        <v>0</v>
      </c>
      <c r="AF49" s="65"/>
      <c r="AG49" s="59"/>
    </row>
    <row r="50" spans="2:33">
      <c r="B50" s="66" t="s">
        <v>40</v>
      </c>
      <c r="C50" s="58" t="s">
        <v>90</v>
      </c>
      <c r="D50" s="59" t="s">
        <v>51</v>
      </c>
      <c r="E50" s="58" t="s">
        <v>102</v>
      </c>
      <c r="F50" s="60" t="s">
        <v>259</v>
      </c>
      <c r="G50" s="60" t="s">
        <v>456</v>
      </c>
      <c r="H50" s="60" t="s">
        <v>175</v>
      </c>
      <c r="I50" s="62">
        <v>419473.6</v>
      </c>
      <c r="J50" s="61" t="s">
        <v>96</v>
      </c>
      <c r="K50" s="61">
        <v>113.56</v>
      </c>
      <c r="L50" s="62">
        <f t="shared" si="21"/>
        <v>47635422.015999995</v>
      </c>
      <c r="M50" s="62">
        <v>48407.22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3">
        <f t="shared" si="18"/>
        <v>0.10162021863423562</v>
      </c>
      <c r="X50" s="62">
        <f t="shared" si="22"/>
        <v>48407.22</v>
      </c>
      <c r="Y50" s="64">
        <f>SUMIFS(SAP!H:H,SAP!L:L,Retirement!F50,SAP!V:V,Retirement!B50)</f>
        <v>48407.22</v>
      </c>
      <c r="Z50" s="64">
        <f t="shared" si="7"/>
        <v>0</v>
      </c>
      <c r="AA50" s="64">
        <f t="shared" si="19"/>
        <v>48407.22</v>
      </c>
      <c r="AB50" s="62">
        <f t="shared" si="23"/>
        <v>0</v>
      </c>
      <c r="AC50" s="62">
        <f t="shared" si="24"/>
        <v>48407.22</v>
      </c>
      <c r="AD50" s="64">
        <f t="shared" si="5"/>
        <v>0</v>
      </c>
      <c r="AE50" s="64">
        <f t="shared" si="9"/>
        <v>0</v>
      </c>
      <c r="AF50" s="65"/>
      <c r="AG50" s="59"/>
    </row>
    <row r="51" spans="2:33">
      <c r="B51" s="66" t="s">
        <v>40</v>
      </c>
      <c r="C51" s="58" t="s">
        <v>90</v>
      </c>
      <c r="D51" s="59" t="s">
        <v>51</v>
      </c>
      <c r="E51" s="58" t="s">
        <v>102</v>
      </c>
      <c r="F51" s="60" t="s">
        <v>260</v>
      </c>
      <c r="G51" s="60" t="s">
        <v>457</v>
      </c>
      <c r="H51" s="60" t="s">
        <v>175</v>
      </c>
      <c r="I51" s="62">
        <v>268709.59999999998</v>
      </c>
      <c r="J51" s="61" t="s">
        <v>96</v>
      </c>
      <c r="K51" s="61">
        <v>113.56</v>
      </c>
      <c r="L51" s="62">
        <f t="shared" si="21"/>
        <v>30514662.175999999</v>
      </c>
      <c r="M51" s="62">
        <v>5678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62">
        <v>0</v>
      </c>
      <c r="W51" s="63">
        <f t="shared" si="18"/>
        <v>1.8607448338280434E-2</v>
      </c>
      <c r="X51" s="62">
        <f t="shared" si="22"/>
        <v>5678</v>
      </c>
      <c r="Y51" s="64">
        <f>SUMIFS(SAP!H:H,SAP!L:L,Retirement!F51,SAP!V:V,Retirement!B51)</f>
        <v>5678</v>
      </c>
      <c r="Z51" s="64">
        <f t="shared" si="7"/>
        <v>0</v>
      </c>
      <c r="AA51" s="64">
        <f t="shared" si="19"/>
        <v>5678</v>
      </c>
      <c r="AB51" s="62">
        <f t="shared" si="23"/>
        <v>0</v>
      </c>
      <c r="AC51" s="62">
        <f t="shared" si="24"/>
        <v>5678</v>
      </c>
      <c r="AD51" s="64">
        <f t="shared" si="5"/>
        <v>0</v>
      </c>
      <c r="AE51" s="64">
        <f t="shared" si="9"/>
        <v>0</v>
      </c>
      <c r="AF51" s="65"/>
      <c r="AG51" s="59"/>
    </row>
    <row r="52" spans="2:33">
      <c r="B52" s="66" t="s">
        <v>40</v>
      </c>
      <c r="C52" s="58" t="s">
        <v>90</v>
      </c>
      <c r="D52" s="59" t="s">
        <v>51</v>
      </c>
      <c r="E52" s="58" t="s">
        <v>102</v>
      </c>
      <c r="F52" s="60" t="s">
        <v>261</v>
      </c>
      <c r="G52" s="60" t="s">
        <v>458</v>
      </c>
      <c r="H52" s="60" t="s">
        <v>155</v>
      </c>
      <c r="I52" s="62">
        <v>312104</v>
      </c>
      <c r="J52" s="61" t="s">
        <v>96</v>
      </c>
      <c r="K52" s="61">
        <v>112.98</v>
      </c>
      <c r="L52" s="62">
        <f t="shared" si="21"/>
        <v>35261509.920000002</v>
      </c>
      <c r="M52" s="62">
        <v>25049.93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3">
        <f t="shared" si="18"/>
        <v>7.1040434901489882E-2</v>
      </c>
      <c r="X52" s="62">
        <f t="shared" si="22"/>
        <v>25049.93</v>
      </c>
      <c r="Y52" s="64">
        <f>SUMIFS(SAP!H:H,SAP!L:L,Retirement!F52,SAP!V:V,Retirement!B52)</f>
        <v>25049.93</v>
      </c>
      <c r="Z52" s="64">
        <f t="shared" si="7"/>
        <v>0</v>
      </c>
      <c r="AA52" s="64">
        <f t="shared" si="19"/>
        <v>25049.93</v>
      </c>
      <c r="AB52" s="62">
        <f t="shared" si="23"/>
        <v>0</v>
      </c>
      <c r="AC52" s="62">
        <f t="shared" si="24"/>
        <v>25049.93</v>
      </c>
      <c r="AD52" s="64">
        <f t="shared" si="5"/>
        <v>0</v>
      </c>
      <c r="AE52" s="64">
        <f t="shared" si="9"/>
        <v>0</v>
      </c>
      <c r="AF52" s="65"/>
      <c r="AG52" s="59"/>
    </row>
    <row r="53" spans="2:33">
      <c r="B53" s="66" t="s">
        <v>40</v>
      </c>
      <c r="C53" s="58" t="s">
        <v>90</v>
      </c>
      <c r="D53" s="59" t="s">
        <v>51</v>
      </c>
      <c r="E53" s="58" t="s">
        <v>459</v>
      </c>
      <c r="F53" s="60" t="s">
        <v>233</v>
      </c>
      <c r="G53" s="60" t="s">
        <v>460</v>
      </c>
      <c r="H53" s="60" t="s">
        <v>423</v>
      </c>
      <c r="I53" s="62">
        <v>24998.3</v>
      </c>
      <c r="J53" s="61" t="s">
        <v>96</v>
      </c>
      <c r="K53" s="63">
        <f>L53/I53</f>
        <v>99.550000200013599</v>
      </c>
      <c r="L53" s="62">
        <v>2488580.77</v>
      </c>
      <c r="M53" s="62">
        <v>0</v>
      </c>
      <c r="N53" s="62">
        <v>2000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360</v>
      </c>
      <c r="W53" s="63">
        <f t="shared" ref="W53:W65" si="26">IFERROR(N53/L53*100,0)</f>
        <v>8.036709212375695E-2</v>
      </c>
      <c r="X53" s="62">
        <f t="shared" si="22"/>
        <v>2000</v>
      </c>
      <c r="Y53" s="64">
        <f>SUMIFS(SAP!H:H,SAP!L:L,Retirement!F53,SAP!V:V,Retirement!B53)</f>
        <v>2000</v>
      </c>
      <c r="Z53" s="64">
        <f t="shared" si="7"/>
        <v>0</v>
      </c>
      <c r="AA53" s="64">
        <f>N53</f>
        <v>2000</v>
      </c>
      <c r="AB53" s="62">
        <f t="shared" si="23"/>
        <v>0</v>
      </c>
      <c r="AC53" s="62">
        <f t="shared" si="24"/>
        <v>2000</v>
      </c>
      <c r="AD53" s="64">
        <f t="shared" si="5"/>
        <v>0</v>
      </c>
      <c r="AE53" s="64">
        <f t="shared" si="9"/>
        <v>0</v>
      </c>
      <c r="AF53" s="65"/>
      <c r="AG53" s="59"/>
    </row>
    <row r="54" spans="2:33">
      <c r="B54" s="66" t="s">
        <v>40</v>
      </c>
      <c r="C54" s="58" t="s">
        <v>90</v>
      </c>
      <c r="D54" s="59" t="s">
        <v>51</v>
      </c>
      <c r="E54" s="58" t="s">
        <v>461</v>
      </c>
      <c r="F54" s="60" t="s">
        <v>234</v>
      </c>
      <c r="G54" s="60" t="s">
        <v>462</v>
      </c>
      <c r="H54" s="60" t="s">
        <v>423</v>
      </c>
      <c r="I54" s="236">
        <v>238985.37</v>
      </c>
      <c r="J54" s="61" t="s">
        <v>371</v>
      </c>
      <c r="K54" s="63"/>
      <c r="L54" s="62">
        <f t="shared" si="21"/>
        <v>0</v>
      </c>
      <c r="M54" s="62">
        <v>0</v>
      </c>
      <c r="N54" s="62">
        <v>2000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360</v>
      </c>
      <c r="W54" s="63">
        <f t="shared" si="26"/>
        <v>0</v>
      </c>
      <c r="X54" s="62">
        <f t="shared" si="22"/>
        <v>2000</v>
      </c>
      <c r="Y54" s="64">
        <f>SUMIFS(SAP!H:H,SAP!L:L,Retirement!F54,SAP!V:V,Retirement!B54)</f>
        <v>2000</v>
      </c>
      <c r="Z54" s="64">
        <f t="shared" si="7"/>
        <v>0</v>
      </c>
      <c r="AA54" s="64">
        <f t="shared" ref="AA54:AA58" si="27">N54</f>
        <v>2000</v>
      </c>
      <c r="AB54" s="62">
        <f t="shared" si="23"/>
        <v>0</v>
      </c>
      <c r="AC54" s="62">
        <f t="shared" si="24"/>
        <v>2000</v>
      </c>
      <c r="AD54" s="64">
        <f t="shared" si="5"/>
        <v>0</v>
      </c>
      <c r="AE54" s="64">
        <f t="shared" si="9"/>
        <v>0</v>
      </c>
      <c r="AF54" s="65"/>
      <c r="AG54" s="59"/>
    </row>
    <row r="55" spans="2:33">
      <c r="B55" s="66" t="s">
        <v>40</v>
      </c>
      <c r="C55" s="58" t="s">
        <v>90</v>
      </c>
      <c r="D55" s="59" t="s">
        <v>51</v>
      </c>
      <c r="E55" s="58" t="s">
        <v>463</v>
      </c>
      <c r="F55" s="60" t="s">
        <v>235</v>
      </c>
      <c r="G55" s="60" t="s">
        <v>464</v>
      </c>
      <c r="H55" s="60" t="s">
        <v>98</v>
      </c>
      <c r="I55" s="236">
        <v>129009.24</v>
      </c>
      <c r="J55" s="61" t="s">
        <v>96</v>
      </c>
      <c r="K55" s="63">
        <f>L55/I55</f>
        <v>103.47973059914158</v>
      </c>
      <c r="L55" s="62">
        <v>13349841.4</v>
      </c>
      <c r="M55" s="62">
        <v>0</v>
      </c>
      <c r="N55" s="62">
        <v>2000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360</v>
      </c>
      <c r="W55" s="63">
        <f t="shared" si="26"/>
        <v>1.4981451390126629E-2</v>
      </c>
      <c r="X55" s="62">
        <f t="shared" si="22"/>
        <v>2000</v>
      </c>
      <c r="Y55" s="64">
        <f>SUMIFS(SAP!H:H,SAP!L:L,Retirement!F55,SAP!V:V,Retirement!B55)</f>
        <v>2000</v>
      </c>
      <c r="Z55" s="64">
        <f t="shared" si="7"/>
        <v>0</v>
      </c>
      <c r="AA55" s="64">
        <f t="shared" si="27"/>
        <v>2000</v>
      </c>
      <c r="AB55" s="62">
        <f t="shared" si="23"/>
        <v>0</v>
      </c>
      <c r="AC55" s="62">
        <f t="shared" si="24"/>
        <v>2000</v>
      </c>
      <c r="AD55" s="64">
        <f t="shared" si="5"/>
        <v>0</v>
      </c>
      <c r="AE55" s="64">
        <f t="shared" si="9"/>
        <v>0</v>
      </c>
      <c r="AF55" s="65"/>
      <c r="AG55" s="59"/>
    </row>
    <row r="56" spans="2:33">
      <c r="B56" s="66" t="s">
        <v>40</v>
      </c>
      <c r="C56" s="58" t="s">
        <v>90</v>
      </c>
      <c r="D56" s="59" t="s">
        <v>51</v>
      </c>
      <c r="E56" s="58" t="s">
        <v>465</v>
      </c>
      <c r="F56" s="60" t="s">
        <v>236</v>
      </c>
      <c r="G56" s="60" t="s">
        <v>466</v>
      </c>
      <c r="H56" s="60" t="s">
        <v>92</v>
      </c>
      <c r="I56" s="62">
        <v>198384.05</v>
      </c>
      <c r="J56" s="61" t="s">
        <v>96</v>
      </c>
      <c r="K56" s="63">
        <f>L56/I56</f>
        <v>103.35000001260183</v>
      </c>
      <c r="L56" s="62">
        <v>20502991.57</v>
      </c>
      <c r="M56" s="62">
        <v>0</v>
      </c>
      <c r="N56" s="62">
        <v>2000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360</v>
      </c>
      <c r="W56" s="63">
        <f t="shared" si="26"/>
        <v>9.7546740590109902E-3</v>
      </c>
      <c r="X56" s="62">
        <f t="shared" si="22"/>
        <v>2000</v>
      </c>
      <c r="Y56" s="64">
        <f>SUMIFS(SAP!H:H,SAP!L:L,Retirement!F56,SAP!V:V,Retirement!B56)</f>
        <v>2000</v>
      </c>
      <c r="Z56" s="64">
        <f t="shared" si="7"/>
        <v>0</v>
      </c>
      <c r="AA56" s="64">
        <f t="shared" si="27"/>
        <v>2000</v>
      </c>
      <c r="AB56" s="62">
        <f t="shared" si="23"/>
        <v>0</v>
      </c>
      <c r="AC56" s="62">
        <f t="shared" si="24"/>
        <v>2000</v>
      </c>
      <c r="AD56" s="64">
        <f t="shared" si="5"/>
        <v>0</v>
      </c>
      <c r="AE56" s="64">
        <f t="shared" si="9"/>
        <v>0</v>
      </c>
      <c r="AF56" s="65"/>
      <c r="AG56" s="59"/>
    </row>
    <row r="57" spans="2:33">
      <c r="B57" s="66" t="s">
        <v>40</v>
      </c>
      <c r="C57" s="58" t="s">
        <v>90</v>
      </c>
      <c r="D57" s="59" t="s">
        <v>51</v>
      </c>
      <c r="E57" s="58" t="s">
        <v>467</v>
      </c>
      <c r="F57" s="60" t="s">
        <v>237</v>
      </c>
      <c r="G57" s="60" t="s">
        <v>468</v>
      </c>
      <c r="H57" s="60" t="s">
        <v>417</v>
      </c>
      <c r="I57" s="236">
        <v>25209.15</v>
      </c>
      <c r="J57" s="61" t="s">
        <v>96</v>
      </c>
      <c r="K57" s="63"/>
      <c r="L57" s="62">
        <f t="shared" ref="L57:L79" si="28">I57*K57</f>
        <v>0</v>
      </c>
      <c r="M57" s="62">
        <v>0</v>
      </c>
      <c r="N57" s="62">
        <v>2000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360</v>
      </c>
      <c r="W57" s="63">
        <f t="shared" si="26"/>
        <v>0</v>
      </c>
      <c r="X57" s="62">
        <f t="shared" ref="X57:X80" si="29">SUM(M57:U57)</f>
        <v>2000</v>
      </c>
      <c r="Y57" s="64">
        <f>SUMIFS(SAP!H:H,SAP!L:L,Retirement!F57,SAP!V:V,Retirement!B57)</f>
        <v>2000</v>
      </c>
      <c r="Z57" s="64">
        <f t="shared" si="7"/>
        <v>0</v>
      </c>
      <c r="AA57" s="64">
        <f t="shared" si="27"/>
        <v>2000</v>
      </c>
      <c r="AB57" s="62">
        <f t="shared" ref="AB57:AB80" si="30">U57</f>
        <v>0</v>
      </c>
      <c r="AC57" s="62">
        <f t="shared" ref="AC57:AC81" si="31">AA57+AB57</f>
        <v>2000</v>
      </c>
      <c r="AD57" s="64">
        <f t="shared" si="5"/>
        <v>0</v>
      </c>
      <c r="AE57" s="64">
        <f t="shared" si="9"/>
        <v>0</v>
      </c>
      <c r="AF57" s="65"/>
      <c r="AG57" s="59"/>
    </row>
    <row r="58" spans="2:33">
      <c r="B58" s="66" t="s">
        <v>40</v>
      </c>
      <c r="C58" s="58" t="s">
        <v>90</v>
      </c>
      <c r="D58" s="59" t="s">
        <v>51</v>
      </c>
      <c r="E58" s="58" t="s">
        <v>469</v>
      </c>
      <c r="F58" s="60" t="s">
        <v>238</v>
      </c>
      <c r="G58" s="60" t="s">
        <v>470</v>
      </c>
      <c r="H58" s="60" t="s">
        <v>423</v>
      </c>
      <c r="I58" s="236">
        <v>147979.24</v>
      </c>
      <c r="J58" s="61" t="s">
        <v>96</v>
      </c>
      <c r="K58" s="63"/>
      <c r="L58" s="62">
        <f t="shared" si="28"/>
        <v>0</v>
      </c>
      <c r="M58" s="62">
        <v>0</v>
      </c>
      <c r="N58" s="62">
        <v>2000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360</v>
      </c>
      <c r="W58" s="63">
        <f t="shared" si="26"/>
        <v>0</v>
      </c>
      <c r="X58" s="62">
        <f t="shared" si="29"/>
        <v>2000</v>
      </c>
      <c r="Y58" s="64">
        <f>SUMIFS(SAP!H:H,SAP!L:L,Retirement!F58,SAP!V:V,Retirement!B58)</f>
        <v>2000</v>
      </c>
      <c r="Z58" s="64">
        <f t="shared" si="7"/>
        <v>0</v>
      </c>
      <c r="AA58" s="64">
        <f t="shared" si="27"/>
        <v>2000</v>
      </c>
      <c r="AB58" s="62">
        <f t="shared" si="30"/>
        <v>0</v>
      </c>
      <c r="AC58" s="62">
        <f t="shared" si="31"/>
        <v>2000</v>
      </c>
      <c r="AD58" s="64">
        <f t="shared" si="5"/>
        <v>0</v>
      </c>
      <c r="AE58" s="64">
        <f t="shared" si="9"/>
        <v>0</v>
      </c>
      <c r="AF58" s="65"/>
      <c r="AG58" s="59"/>
    </row>
    <row r="59" spans="2:33">
      <c r="B59" s="66" t="s">
        <v>40</v>
      </c>
      <c r="C59" s="58" t="s">
        <v>90</v>
      </c>
      <c r="D59" s="59" t="s">
        <v>51</v>
      </c>
      <c r="E59" s="58" t="s">
        <v>440</v>
      </c>
      <c r="F59" s="60" t="s">
        <v>250</v>
      </c>
      <c r="G59" s="60" t="s">
        <v>471</v>
      </c>
      <c r="H59" s="60" t="s">
        <v>133</v>
      </c>
      <c r="I59" s="62">
        <v>455971.17</v>
      </c>
      <c r="J59" s="61" t="s">
        <v>96</v>
      </c>
      <c r="K59" s="63">
        <f>L59/I59</f>
        <v>103.70000000219312</v>
      </c>
      <c r="L59" s="62">
        <v>47284210.329999998</v>
      </c>
      <c r="M59" s="62">
        <v>101756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>
        <v>0</v>
      </c>
      <c r="U59" s="62">
        <v>0</v>
      </c>
      <c r="V59" s="62">
        <f>M59*0.18</f>
        <v>18316.079999999998</v>
      </c>
      <c r="W59" s="63">
        <f t="shared" si="26"/>
        <v>0</v>
      </c>
      <c r="X59" s="62">
        <f>SUM(M59:U59)</f>
        <v>101756</v>
      </c>
      <c r="Y59" s="64">
        <f>SUMIFS(SAP!H:H,SAP!L:L,Retirement!F59,SAP!V:V,Retirement!B59)</f>
        <v>101756.49</v>
      </c>
      <c r="Z59" s="64">
        <f t="shared" si="7"/>
        <v>0</v>
      </c>
      <c r="AA59" s="64">
        <f>M59</f>
        <v>101756</v>
      </c>
      <c r="AB59" s="62">
        <f>U59</f>
        <v>0</v>
      </c>
      <c r="AC59" s="62">
        <f>AA59+AB59</f>
        <v>101756</v>
      </c>
      <c r="AD59" s="64">
        <f t="shared" si="5"/>
        <v>0</v>
      </c>
      <c r="AE59" s="64">
        <f t="shared" si="9"/>
        <v>0</v>
      </c>
      <c r="AF59" s="65"/>
      <c r="AG59" s="192" t="s">
        <v>472</v>
      </c>
    </row>
    <row r="60" spans="2:33">
      <c r="B60" s="66" t="s">
        <v>40</v>
      </c>
      <c r="C60" s="58" t="s">
        <v>189</v>
      </c>
      <c r="D60" s="59" t="s">
        <v>51</v>
      </c>
      <c r="E60" s="58" t="s">
        <v>12</v>
      </c>
      <c r="F60" s="60" t="s">
        <v>216</v>
      </c>
      <c r="G60" s="60" t="s">
        <v>473</v>
      </c>
      <c r="H60" s="193">
        <v>46120</v>
      </c>
      <c r="I60" s="62">
        <v>7616066</v>
      </c>
      <c r="J60" s="61" t="s">
        <v>193</v>
      </c>
      <c r="K60" s="63"/>
      <c r="L60" s="62">
        <v>7616066</v>
      </c>
      <c r="M60" s="62">
        <v>0</v>
      </c>
      <c r="N60" s="62">
        <v>2500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100</v>
      </c>
      <c r="U60" s="62">
        <v>0</v>
      </c>
      <c r="V60" s="62">
        <f>N60*0.18+T60*0.18</f>
        <v>468</v>
      </c>
      <c r="W60" s="63">
        <f t="shared" si="26"/>
        <v>3.2825345788757607E-2</v>
      </c>
      <c r="X60" s="62">
        <f t="shared" ref="X60" si="32">SUM(M60:U60)</f>
        <v>2600</v>
      </c>
      <c r="Y60" s="64">
        <f>SUMIFS(SAP!H:H,SAP!L:L,Retirement!F60,SAP!V:V,Retirement!B60)</f>
        <v>2600</v>
      </c>
      <c r="Z60" s="64">
        <f t="shared" si="7"/>
        <v>0</v>
      </c>
      <c r="AA60" s="64">
        <f t="shared" ref="AA60" si="33">N60</f>
        <v>2500</v>
      </c>
      <c r="AB60" s="62">
        <f t="shared" ref="AB60" si="34">T60</f>
        <v>100</v>
      </c>
      <c r="AC60" s="62">
        <f t="shared" ref="AC60" si="35">AA60+AB60</f>
        <v>2600</v>
      </c>
      <c r="AD60" s="64">
        <f t="shared" ref="AD60" si="36">X60-AC60</f>
        <v>0</v>
      </c>
      <c r="AE60" s="64">
        <f t="shared" ref="AE60:AE65" si="37">S60</f>
        <v>0</v>
      </c>
      <c r="AF60" s="65"/>
      <c r="AG60" s="192"/>
    </row>
    <row r="61" spans="2:33">
      <c r="B61" s="66" t="s">
        <v>40</v>
      </c>
      <c r="C61" s="58" t="s">
        <v>189</v>
      </c>
      <c r="D61" s="59" t="s">
        <v>51</v>
      </c>
      <c r="E61" s="58" t="s">
        <v>12</v>
      </c>
      <c r="F61" s="60" t="s">
        <v>223</v>
      </c>
      <c r="G61" s="60" t="s">
        <v>474</v>
      </c>
      <c r="H61" s="193">
        <v>46129</v>
      </c>
      <c r="I61" s="62">
        <v>5153861</v>
      </c>
      <c r="J61" s="61" t="s">
        <v>193</v>
      </c>
      <c r="K61" s="63"/>
      <c r="L61" s="62">
        <v>5153861</v>
      </c>
      <c r="M61" s="62">
        <v>0</v>
      </c>
      <c r="N61" s="62">
        <v>2500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100</v>
      </c>
      <c r="U61" s="62">
        <v>0</v>
      </c>
      <c r="V61" s="62">
        <f>N61*0.18+T61*0.18</f>
        <v>468</v>
      </c>
      <c r="W61" s="63">
        <f t="shared" si="26"/>
        <v>4.8507322956517454E-2</v>
      </c>
      <c r="X61" s="62">
        <f t="shared" ref="X61" si="38">SUM(M61:U61)</f>
        <v>2600</v>
      </c>
      <c r="Y61" s="64">
        <f>SUMIFS(SAP!H:H,SAP!L:L,Retirement!F61,SAP!V:V,Retirement!B61)</f>
        <v>2600</v>
      </c>
      <c r="Z61" s="64">
        <f t="shared" si="7"/>
        <v>0</v>
      </c>
      <c r="AA61" s="64">
        <f t="shared" ref="AA61" si="39">N61</f>
        <v>2500</v>
      </c>
      <c r="AB61" s="62">
        <f t="shared" ref="AB61" si="40">T61</f>
        <v>100</v>
      </c>
      <c r="AC61" s="62">
        <f t="shared" ref="AC61" si="41">AA61+AB61</f>
        <v>2600</v>
      </c>
      <c r="AD61" s="64">
        <f t="shared" ref="AD61" si="42">X61-AC61</f>
        <v>0</v>
      </c>
      <c r="AE61" s="64">
        <f t="shared" ref="AE61" si="43">S61</f>
        <v>0</v>
      </c>
      <c r="AF61" s="65"/>
      <c r="AG61" s="192"/>
    </row>
    <row r="62" spans="2:33">
      <c r="B62" s="66" t="s">
        <v>40</v>
      </c>
      <c r="C62" s="58" t="s">
        <v>189</v>
      </c>
      <c r="D62" s="59" t="s">
        <v>51</v>
      </c>
      <c r="E62" s="58" t="s">
        <v>12</v>
      </c>
      <c r="F62" s="60" t="s">
        <v>224</v>
      </c>
      <c r="G62" s="60" t="s">
        <v>475</v>
      </c>
      <c r="H62" s="193">
        <v>46130</v>
      </c>
      <c r="I62" s="62">
        <v>4894240</v>
      </c>
      <c r="J62" s="61" t="s">
        <v>193</v>
      </c>
      <c r="K62" s="63"/>
      <c r="L62" s="62">
        <v>4894240</v>
      </c>
      <c r="M62" s="62">
        <v>0</v>
      </c>
      <c r="N62" s="62">
        <v>2500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100</v>
      </c>
      <c r="U62" s="62">
        <v>0</v>
      </c>
      <c r="V62" s="62">
        <f>N62*0.18+T62*0.18</f>
        <v>468</v>
      </c>
      <c r="W62" s="63">
        <f t="shared" si="26"/>
        <v>5.1080453757886828E-2</v>
      </c>
      <c r="X62" s="62">
        <f t="shared" ref="X62" si="44">SUM(M62:U62)</f>
        <v>2600</v>
      </c>
      <c r="Y62" s="64">
        <f>SUMIFS(SAP!H:H,SAP!L:L,Retirement!F62,SAP!V:V,Retirement!B62)</f>
        <v>2600</v>
      </c>
      <c r="Z62" s="64">
        <f t="shared" si="7"/>
        <v>0</v>
      </c>
      <c r="AA62" s="64">
        <f t="shared" ref="AA62" si="45">N62</f>
        <v>2500</v>
      </c>
      <c r="AB62" s="62">
        <f t="shared" ref="AB62" si="46">T62</f>
        <v>100</v>
      </c>
      <c r="AC62" s="62">
        <f t="shared" ref="AC62" si="47">AA62+AB62</f>
        <v>2600</v>
      </c>
      <c r="AD62" s="64">
        <f t="shared" ref="AD62" si="48">X62-AC62</f>
        <v>0</v>
      </c>
      <c r="AE62" s="64">
        <f t="shared" ref="AE62" si="49">S62</f>
        <v>0</v>
      </c>
      <c r="AF62" s="65"/>
      <c r="AG62" s="192"/>
    </row>
    <row r="63" spans="2:33">
      <c r="B63" s="66" t="s">
        <v>40</v>
      </c>
      <c r="C63" s="58" t="s">
        <v>189</v>
      </c>
      <c r="D63" s="59" t="s">
        <v>51</v>
      </c>
      <c r="E63" s="58" t="s">
        <v>12</v>
      </c>
      <c r="F63" s="60" t="s">
        <v>225</v>
      </c>
      <c r="G63" s="60" t="s">
        <v>475</v>
      </c>
      <c r="H63" s="193">
        <v>46130</v>
      </c>
      <c r="I63" s="62">
        <v>2441615</v>
      </c>
      <c r="J63" s="61" t="s">
        <v>193</v>
      </c>
      <c r="K63" s="63"/>
      <c r="L63" s="62">
        <v>2441615</v>
      </c>
      <c r="M63" s="62">
        <v>0</v>
      </c>
      <c r="N63" s="62">
        <v>2500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100</v>
      </c>
      <c r="U63" s="62">
        <v>0</v>
      </c>
      <c r="V63" s="62">
        <f>N63*0.18+T63*0.18</f>
        <v>468</v>
      </c>
      <c r="W63" s="63">
        <f t="shared" si="26"/>
        <v>0.10239124513897564</v>
      </c>
      <c r="X63" s="62">
        <f t="shared" ref="X63" si="50">SUM(M63:U63)</f>
        <v>2600</v>
      </c>
      <c r="Y63" s="64">
        <f>SUMIFS(SAP!H:H,SAP!L:L,Retirement!F63,SAP!V:V,Retirement!B63)</f>
        <v>2600</v>
      </c>
      <c r="Z63" s="64">
        <f t="shared" si="7"/>
        <v>0</v>
      </c>
      <c r="AA63" s="64">
        <f t="shared" ref="AA63" si="51">N63</f>
        <v>2500</v>
      </c>
      <c r="AB63" s="62">
        <f t="shared" ref="AB63" si="52">T63</f>
        <v>100</v>
      </c>
      <c r="AC63" s="62">
        <f t="shared" ref="AC63" si="53">AA63+AB63</f>
        <v>2600</v>
      </c>
      <c r="AD63" s="64">
        <f t="shared" ref="AD63" si="54">X63-AC63</f>
        <v>0</v>
      </c>
      <c r="AE63" s="64">
        <f t="shared" ref="AE63" si="55">S63</f>
        <v>0</v>
      </c>
      <c r="AF63" s="65"/>
      <c r="AG63" s="192"/>
    </row>
    <row r="64" spans="2:33">
      <c r="B64" s="66" t="s">
        <v>40</v>
      </c>
      <c r="C64" s="58" t="s">
        <v>189</v>
      </c>
      <c r="D64" s="59" t="s">
        <v>51</v>
      </c>
      <c r="E64" s="58" t="s">
        <v>12</v>
      </c>
      <c r="F64" s="60" t="s">
        <v>228</v>
      </c>
      <c r="G64" s="60" t="s">
        <v>476</v>
      </c>
      <c r="H64" s="60" t="s">
        <v>133</v>
      </c>
      <c r="I64" s="62">
        <v>4973446</v>
      </c>
      <c r="J64" s="61" t="s">
        <v>193</v>
      </c>
      <c r="K64" s="63"/>
      <c r="L64" s="62">
        <v>4973446</v>
      </c>
      <c r="M64" s="62">
        <v>0</v>
      </c>
      <c r="N64" s="62">
        <v>2500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100</v>
      </c>
      <c r="U64" s="62">
        <v>0</v>
      </c>
      <c r="V64" s="62">
        <f>N64*0.18+T64*0.18</f>
        <v>468</v>
      </c>
      <c r="W64" s="63">
        <f t="shared" si="26"/>
        <v>5.0266957759267913E-2</v>
      </c>
      <c r="X64" s="62">
        <f t="shared" ref="X64" si="56">SUM(M64:U64)</f>
        <v>2600</v>
      </c>
      <c r="Y64" s="64">
        <f>SUMIFS(SAP!H:H,SAP!L:L,Retirement!F64,SAP!V:V,Retirement!B64)</f>
        <v>2600</v>
      </c>
      <c r="Z64" s="64">
        <f t="shared" si="7"/>
        <v>0</v>
      </c>
      <c r="AA64" s="64">
        <f t="shared" ref="AA64" si="57">N64</f>
        <v>2500</v>
      </c>
      <c r="AB64" s="62">
        <f t="shared" ref="AB64" si="58">T64</f>
        <v>100</v>
      </c>
      <c r="AC64" s="62">
        <f t="shared" ref="AC64" si="59">AA64+AB64</f>
        <v>2600</v>
      </c>
      <c r="AD64" s="64">
        <f t="shared" ref="AD64" si="60">X64-AC64</f>
        <v>0</v>
      </c>
      <c r="AE64" s="64">
        <f t="shared" ref="AE64" si="61">S64</f>
        <v>0</v>
      </c>
      <c r="AF64" s="65"/>
      <c r="AG64" s="192"/>
    </row>
    <row r="65" spans="2:33">
      <c r="B65" s="66" t="s">
        <v>40</v>
      </c>
      <c r="C65" s="58" t="s">
        <v>90</v>
      </c>
      <c r="D65" s="59" t="s">
        <v>51</v>
      </c>
      <c r="E65" s="58" t="s">
        <v>91</v>
      </c>
      <c r="F65" s="60" t="s">
        <v>247</v>
      </c>
      <c r="G65" s="264">
        <v>5400513947</v>
      </c>
      <c r="H65" s="60" t="s">
        <v>417</v>
      </c>
      <c r="I65" s="62">
        <v>132350.78</v>
      </c>
      <c r="J65" s="61" t="s">
        <v>96</v>
      </c>
      <c r="K65" s="63">
        <v>110.86</v>
      </c>
      <c r="L65" s="62">
        <f>I65*K65</f>
        <v>14672407.470799999</v>
      </c>
      <c r="M65" s="62">
        <v>7205.9</v>
      </c>
      <c r="N65" s="62">
        <v>0</v>
      </c>
      <c r="O65" s="62">
        <v>0</v>
      </c>
      <c r="P65" s="62">
        <v>0</v>
      </c>
      <c r="Q65" s="62">
        <v>-41645.14</v>
      </c>
      <c r="R65" s="62">
        <v>0</v>
      </c>
      <c r="S65" s="62">
        <v>0</v>
      </c>
      <c r="T65" s="62">
        <v>0</v>
      </c>
      <c r="U65" s="62">
        <v>0</v>
      </c>
      <c r="V65" s="62">
        <f>M65*0.18</f>
        <v>1297.0619999999999</v>
      </c>
      <c r="W65" s="63">
        <f t="shared" si="26"/>
        <v>0</v>
      </c>
      <c r="X65" s="62">
        <f>SUM(M65:U65)</f>
        <v>-34439.24</v>
      </c>
      <c r="Y65" s="64">
        <f>SUMIFS(SAP!H:H,SAP!L:L,Retirement!F65,SAP!V:V,Retirement!B65)</f>
        <v>-34439.24</v>
      </c>
      <c r="Z65" s="64">
        <f t="shared" si="7"/>
        <v>0</v>
      </c>
      <c r="AA65" s="64">
        <f>M65</f>
        <v>7205.9</v>
      </c>
      <c r="AB65" s="62">
        <f>Q65</f>
        <v>-41645.14</v>
      </c>
      <c r="AC65" s="62">
        <f>AA65+AB65</f>
        <v>-34439.24</v>
      </c>
      <c r="AD65" s="64">
        <f>X65-AC65</f>
        <v>0</v>
      </c>
      <c r="AE65" s="64">
        <f t="shared" si="37"/>
        <v>0</v>
      </c>
      <c r="AF65" s="65"/>
      <c r="AG65" s="192"/>
    </row>
    <row r="66" spans="2:33">
      <c r="B66" s="66" t="s">
        <v>40</v>
      </c>
      <c r="C66" s="58" t="s">
        <v>90</v>
      </c>
      <c r="D66" s="59" t="s">
        <v>51</v>
      </c>
      <c r="E66" s="58" t="s">
        <v>102</v>
      </c>
      <c r="F66" s="60" t="s">
        <v>255</v>
      </c>
      <c r="G66" s="264">
        <v>5400514000</v>
      </c>
      <c r="H66" s="193">
        <v>46125</v>
      </c>
      <c r="I66" s="62">
        <v>274699.2</v>
      </c>
      <c r="J66" s="61" t="s">
        <v>96</v>
      </c>
      <c r="K66" s="63">
        <v>113.13</v>
      </c>
      <c r="L66" s="62">
        <f>I66*K66</f>
        <v>31076720.495999999</v>
      </c>
      <c r="M66" s="62">
        <v>5656.5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f t="shared" ref="V66:V68" si="62">M66*0.18</f>
        <v>1018.17</v>
      </c>
      <c r="W66" s="63">
        <f t="shared" ref="W66:W68" si="63">IFERROR(N66/L66*100,0)</f>
        <v>0</v>
      </c>
      <c r="X66" s="62">
        <f t="shared" ref="X66:X68" si="64">SUM(M66:U66)</f>
        <v>5656.5</v>
      </c>
      <c r="Y66" s="64">
        <f>SUMIFS(SAP!H:H,SAP!L:L,Retirement!F66,SAP!V:V,Retirement!B66)</f>
        <v>5656.5</v>
      </c>
      <c r="Z66" s="64">
        <f t="shared" si="7"/>
        <v>0</v>
      </c>
      <c r="AA66" s="64">
        <f t="shared" ref="AA66:AA68" si="65">M66</f>
        <v>5656.5</v>
      </c>
      <c r="AB66" s="62">
        <f t="shared" ref="AB66:AB68" si="66">Q66</f>
        <v>0</v>
      </c>
      <c r="AC66" s="62">
        <f t="shared" ref="AC66:AC68" si="67">AA66+AB66</f>
        <v>5656.5</v>
      </c>
      <c r="AD66" s="64">
        <f t="shared" ref="AD66:AD68" si="68">X66-AC66</f>
        <v>0</v>
      </c>
      <c r="AE66" s="64">
        <f t="shared" ref="AE66:AE68" si="69">S66</f>
        <v>0</v>
      </c>
      <c r="AF66" s="65"/>
      <c r="AG66" s="192"/>
    </row>
    <row r="67" spans="2:33">
      <c r="B67" s="66" t="s">
        <v>40</v>
      </c>
      <c r="C67" s="58" t="s">
        <v>90</v>
      </c>
      <c r="D67" s="59" t="s">
        <v>51</v>
      </c>
      <c r="E67" s="58" t="s">
        <v>440</v>
      </c>
      <c r="F67" s="60" t="s">
        <v>245</v>
      </c>
      <c r="G67" s="264">
        <v>5400513927</v>
      </c>
      <c r="H67" s="193">
        <v>46126</v>
      </c>
      <c r="I67" s="62">
        <v>218980.7</v>
      </c>
      <c r="J67" s="61" t="s">
        <v>96</v>
      </c>
      <c r="K67" s="63"/>
      <c r="L67" s="62"/>
      <c r="M67" s="62"/>
      <c r="N67" s="62">
        <v>0</v>
      </c>
      <c r="O67" s="62">
        <v>0</v>
      </c>
      <c r="P67" s="62">
        <v>10245.700000000001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f t="shared" si="62"/>
        <v>0</v>
      </c>
      <c r="W67" s="63">
        <f t="shared" si="63"/>
        <v>0</v>
      </c>
      <c r="X67" s="62">
        <f t="shared" si="64"/>
        <v>10245.700000000001</v>
      </c>
      <c r="Y67" s="64">
        <f>SUMIFS(SAP!H:H,SAP!L:L,Retirement!F67,SAP!V:V,Retirement!B67)</f>
        <v>10245.700000000001</v>
      </c>
      <c r="Z67" s="64">
        <f t="shared" si="7"/>
        <v>0</v>
      </c>
      <c r="AA67" s="64">
        <f t="shared" si="65"/>
        <v>0</v>
      </c>
      <c r="AB67" s="62">
        <f>P67</f>
        <v>10245.700000000001</v>
      </c>
      <c r="AC67" s="62">
        <f t="shared" si="67"/>
        <v>10245.700000000001</v>
      </c>
      <c r="AD67" s="64">
        <f t="shared" si="68"/>
        <v>0</v>
      </c>
      <c r="AE67" s="64">
        <f t="shared" si="69"/>
        <v>0</v>
      </c>
      <c r="AF67" s="65"/>
      <c r="AG67" s="192"/>
    </row>
    <row r="68" spans="2:33">
      <c r="B68" s="66" t="s">
        <v>40</v>
      </c>
      <c r="C68" s="58" t="s">
        <v>90</v>
      </c>
      <c r="D68" s="59" t="s">
        <v>51</v>
      </c>
      <c r="E68" s="58" t="s">
        <v>102</v>
      </c>
      <c r="F68" s="60" t="s">
        <v>257</v>
      </c>
      <c r="G68" s="264">
        <v>5400514009</v>
      </c>
      <c r="H68" s="193">
        <v>46128</v>
      </c>
      <c r="I68" s="62">
        <v>412314.06</v>
      </c>
      <c r="J68" s="61" t="s">
        <v>96</v>
      </c>
      <c r="K68" s="63">
        <v>112.33</v>
      </c>
      <c r="L68" s="62">
        <f>I68*K68</f>
        <v>46315238.359799996</v>
      </c>
      <c r="M68" s="62">
        <v>11233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f t="shared" si="62"/>
        <v>2021.9399999999998</v>
      </c>
      <c r="W68" s="63">
        <f t="shared" si="63"/>
        <v>0</v>
      </c>
      <c r="X68" s="62">
        <f t="shared" si="64"/>
        <v>11233</v>
      </c>
      <c r="Y68" s="64">
        <f>SUMIFS(SAP!H:H,SAP!L:L,Retirement!F68,SAP!V:V,Retirement!B68)</f>
        <v>11233</v>
      </c>
      <c r="Z68" s="64">
        <f t="shared" si="7"/>
        <v>0</v>
      </c>
      <c r="AA68" s="64">
        <f t="shared" si="65"/>
        <v>11233</v>
      </c>
      <c r="AB68" s="62">
        <f t="shared" si="66"/>
        <v>0</v>
      </c>
      <c r="AC68" s="62">
        <f t="shared" si="67"/>
        <v>11233</v>
      </c>
      <c r="AD68" s="64">
        <f t="shared" si="68"/>
        <v>0</v>
      </c>
      <c r="AE68" s="64">
        <f t="shared" si="69"/>
        <v>0</v>
      </c>
      <c r="AF68" s="65"/>
      <c r="AG68" s="192"/>
    </row>
    <row r="69" spans="2:33">
      <c r="B69" s="66" t="s">
        <v>40</v>
      </c>
      <c r="C69" s="58" t="s">
        <v>90</v>
      </c>
      <c r="D69" s="59" t="s">
        <v>51</v>
      </c>
      <c r="E69" s="58" t="s">
        <v>102</v>
      </c>
      <c r="F69" s="264" t="s">
        <v>258</v>
      </c>
      <c r="G69" s="264">
        <v>5400513981</v>
      </c>
      <c r="H69" s="193">
        <v>46128</v>
      </c>
      <c r="I69" s="62">
        <v>288044.11</v>
      </c>
      <c r="J69" s="61" t="s">
        <v>96</v>
      </c>
      <c r="K69" s="63">
        <v>107.135001764772</v>
      </c>
      <c r="L69" s="62">
        <f>I69*K69</f>
        <v>30859606.233182177</v>
      </c>
      <c r="M69" s="62">
        <v>0</v>
      </c>
      <c r="N69" s="62">
        <v>0</v>
      </c>
      <c r="O69" s="62">
        <v>0</v>
      </c>
      <c r="P69" s="62">
        <v>0</v>
      </c>
      <c r="Q69" s="62">
        <v>-12141.61</v>
      </c>
      <c r="R69" s="62">
        <v>0</v>
      </c>
      <c r="S69" s="62">
        <v>0</v>
      </c>
      <c r="T69" s="62">
        <v>0</v>
      </c>
      <c r="U69" s="62">
        <v>0</v>
      </c>
      <c r="V69" s="62">
        <f t="shared" ref="V69" si="70">M69*0.18</f>
        <v>0</v>
      </c>
      <c r="W69" s="63">
        <f t="shared" ref="W69" si="71">IFERROR(N69/L69*100,0)</f>
        <v>0</v>
      </c>
      <c r="X69" s="62">
        <f t="shared" ref="X69" si="72">SUM(M69:U69)</f>
        <v>-12141.61</v>
      </c>
      <c r="Y69" s="64">
        <f>SUMIFS(SAP!H:H,SAP!L:L,Retirement!F69,SAP!V:V,Retirement!B69)</f>
        <v>-12141.61</v>
      </c>
      <c r="Z69" s="64">
        <f t="shared" si="7"/>
        <v>0</v>
      </c>
      <c r="AA69" s="64">
        <f t="shared" ref="AA69" si="73">M69</f>
        <v>0</v>
      </c>
      <c r="AB69" s="62">
        <f t="shared" ref="AB69" si="74">Q69</f>
        <v>-12141.61</v>
      </c>
      <c r="AC69" s="62">
        <f t="shared" ref="AC69" si="75">AA69+AB69</f>
        <v>-12141.61</v>
      </c>
      <c r="AD69" s="64">
        <f t="shared" ref="AD69" si="76">X69-AC69</f>
        <v>0</v>
      </c>
      <c r="AE69" s="64">
        <f t="shared" ref="AE69" si="77">S69</f>
        <v>0</v>
      </c>
      <c r="AF69" s="65"/>
      <c r="AG69" s="192"/>
    </row>
    <row r="70" spans="2:33">
      <c r="B70" s="66" t="s">
        <v>40</v>
      </c>
      <c r="C70" s="58" t="s">
        <v>90</v>
      </c>
      <c r="D70" s="59" t="s">
        <v>51</v>
      </c>
      <c r="E70" s="58" t="s">
        <v>121</v>
      </c>
      <c r="F70" s="264" t="s">
        <v>185</v>
      </c>
      <c r="G70" s="264">
        <v>5400514099</v>
      </c>
      <c r="H70" s="193">
        <v>46129</v>
      </c>
      <c r="I70" s="62">
        <v>123340.16</v>
      </c>
      <c r="J70" s="61" t="s">
        <v>96</v>
      </c>
      <c r="K70" s="63">
        <v>109.41</v>
      </c>
      <c r="L70" s="62">
        <f>I70*K70</f>
        <v>13494646.9056</v>
      </c>
      <c r="M70" s="62">
        <v>0</v>
      </c>
      <c r="N70" s="62">
        <v>0</v>
      </c>
      <c r="O70" s="62">
        <v>0</v>
      </c>
      <c r="P70" s="62">
        <v>4267.0200000000004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f t="shared" ref="V70" si="78">M70*0.18</f>
        <v>0</v>
      </c>
      <c r="W70" s="63">
        <f t="shared" ref="W70" si="79">IFERROR(N70/L70*100,0)</f>
        <v>0</v>
      </c>
      <c r="X70" s="62">
        <f t="shared" ref="X70" si="80">SUM(M70:U70)</f>
        <v>4267.0200000000004</v>
      </c>
      <c r="Y70" s="64">
        <f>SUMIFS(SAP!H:H,SAP!L:L,Retirement!F70,SAP!V:V,Retirement!B70,SAP!P:P, "retirement chgs")</f>
        <v>4267.0200000000004</v>
      </c>
      <c r="Z70" s="64">
        <f t="shared" si="7"/>
        <v>0</v>
      </c>
      <c r="AA70" s="64">
        <f t="shared" ref="AA70" si="81">M70</f>
        <v>0</v>
      </c>
      <c r="AB70" s="62">
        <f>P70</f>
        <v>4267.0200000000004</v>
      </c>
      <c r="AC70" s="62">
        <f t="shared" ref="AC70" si="82">AA70+AB70</f>
        <v>4267.0200000000004</v>
      </c>
      <c r="AD70" s="64">
        <f t="shared" ref="AD70" si="83">X70-AC70</f>
        <v>0</v>
      </c>
      <c r="AE70" s="64">
        <f t="shared" ref="AE70" si="84">S70</f>
        <v>0</v>
      </c>
      <c r="AF70" s="65"/>
      <c r="AG70" s="192"/>
    </row>
    <row r="71" spans="2:33">
      <c r="B71" s="66" t="s">
        <v>40</v>
      </c>
      <c r="C71" s="58" t="s">
        <v>90</v>
      </c>
      <c r="D71" s="59" t="s">
        <v>368</v>
      </c>
      <c r="E71" s="58" t="s">
        <v>373</v>
      </c>
      <c r="F71" s="60" t="s">
        <v>477</v>
      </c>
      <c r="G71" s="60"/>
      <c r="H71" s="60" t="s">
        <v>478</v>
      </c>
      <c r="I71" s="62">
        <v>1654544.32</v>
      </c>
      <c r="J71" s="61" t="s">
        <v>371</v>
      </c>
      <c r="K71" s="61">
        <v>92.984999999999999</v>
      </c>
      <c r="L71" s="62">
        <f t="shared" si="28"/>
        <v>153847803.5952</v>
      </c>
      <c r="M71" s="62">
        <v>0</v>
      </c>
      <c r="N71" s="62">
        <v>25000</v>
      </c>
      <c r="O71" s="62">
        <v>9298.5</v>
      </c>
      <c r="P71" s="62">
        <v>2400693</v>
      </c>
      <c r="Q71" s="62">
        <v>0</v>
      </c>
      <c r="R71" s="62">
        <v>0</v>
      </c>
      <c r="S71" s="62">
        <v>0</v>
      </c>
      <c r="T71" s="62">
        <v>0</v>
      </c>
      <c r="U71" s="62">
        <v>550</v>
      </c>
      <c r="V71" s="62">
        <v>4599</v>
      </c>
      <c r="W71" s="63">
        <f t="shared" ref="W71" si="85">IFERROR(N71/L71*100,0)</f>
        <v>1.6249825747125579E-2</v>
      </c>
      <c r="X71" s="62">
        <f>SUM(M71:U71)</f>
        <v>2435541.5</v>
      </c>
      <c r="Y71" s="64">
        <f>SUMIFS(SAP!H:H,SAP!L:L,Retirement!F71,SAP!V:V,Retirement!B71,SAP!P:P, "retirement chgs")</f>
        <v>2435540.81</v>
      </c>
      <c r="Z71" s="64">
        <f t="shared" si="7"/>
        <v>-1</v>
      </c>
      <c r="AA71" s="64">
        <f>N71</f>
        <v>25000</v>
      </c>
      <c r="AB71" s="62">
        <f>U71+O71+P71</f>
        <v>2410541.5</v>
      </c>
      <c r="AC71" s="62">
        <f t="shared" si="31"/>
        <v>2435541.5</v>
      </c>
      <c r="AD71" s="64">
        <f t="shared" ref="AD71:AD79" si="86">X71-AC71</f>
        <v>0</v>
      </c>
      <c r="AE71" s="64">
        <f t="shared" si="9"/>
        <v>0</v>
      </c>
      <c r="AF71" s="65"/>
      <c r="AG71" s="59"/>
    </row>
    <row r="72" spans="2:33">
      <c r="B72" s="66" t="s">
        <v>40</v>
      </c>
      <c r="C72" s="58" t="s">
        <v>189</v>
      </c>
      <c r="D72" s="59" t="s">
        <v>190</v>
      </c>
      <c r="E72" s="58" t="s">
        <v>12</v>
      </c>
      <c r="F72" s="60" t="s">
        <v>479</v>
      </c>
      <c r="G72" s="60" t="s">
        <v>480</v>
      </c>
      <c r="H72" s="60" t="s">
        <v>481</v>
      </c>
      <c r="I72" s="62">
        <v>9867685</v>
      </c>
      <c r="J72" s="61" t="s">
        <v>193</v>
      </c>
      <c r="K72" s="63">
        <v>0</v>
      </c>
      <c r="L72" s="62">
        <f>I72</f>
        <v>9867685</v>
      </c>
      <c r="M72" s="62">
        <v>0</v>
      </c>
      <c r="N72" s="62">
        <v>1250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500</v>
      </c>
      <c r="V72" s="62">
        <v>315</v>
      </c>
      <c r="W72" s="63">
        <f>IFERROR(N72/L72*100,0)</f>
        <v>1.2667611501583197E-2</v>
      </c>
      <c r="X72" s="62">
        <f t="shared" si="29"/>
        <v>1750</v>
      </c>
      <c r="Y72" s="64">
        <f>SUMIFS(SAP!H:H,SAP!M:M,Retirement!F72,SAP!V:V,Retirement!B72)</f>
        <v>1750</v>
      </c>
      <c r="Z72" s="64">
        <f t="shared" si="7"/>
        <v>0</v>
      </c>
      <c r="AA72" s="64">
        <f t="shared" ref="AA72:AA76" si="87">N72</f>
        <v>1250</v>
      </c>
      <c r="AB72" s="62">
        <f t="shared" si="30"/>
        <v>500</v>
      </c>
      <c r="AC72" s="62">
        <f t="shared" si="31"/>
        <v>1750</v>
      </c>
      <c r="AD72" s="64">
        <f t="shared" si="86"/>
        <v>0</v>
      </c>
      <c r="AE72" s="64">
        <f t="shared" si="9"/>
        <v>0</v>
      </c>
      <c r="AF72" s="65"/>
      <c r="AG72" s="59"/>
    </row>
    <row r="73" spans="2:33">
      <c r="B73" s="66" t="s">
        <v>40</v>
      </c>
      <c r="C73" s="58" t="s">
        <v>189</v>
      </c>
      <c r="D73" s="59" t="s">
        <v>190</v>
      </c>
      <c r="E73" s="58" t="s">
        <v>12</v>
      </c>
      <c r="F73" s="60" t="s">
        <v>482</v>
      </c>
      <c r="G73" s="60" t="s">
        <v>483</v>
      </c>
      <c r="H73" s="60" t="s">
        <v>481</v>
      </c>
      <c r="I73" s="62">
        <v>5033690</v>
      </c>
      <c r="J73" s="61" t="s">
        <v>193</v>
      </c>
      <c r="K73" s="63">
        <v>0</v>
      </c>
      <c r="L73" s="62">
        <f t="shared" ref="L73:L74" si="88">I73</f>
        <v>5033690</v>
      </c>
      <c r="M73" s="62">
        <v>0</v>
      </c>
      <c r="N73" s="62">
        <v>1250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500</v>
      </c>
      <c r="V73" s="62">
        <v>315</v>
      </c>
      <c r="W73" s="63">
        <f>IFERROR(N73/L73*100,0)</f>
        <v>2.4832677419547092E-2</v>
      </c>
      <c r="X73" s="62">
        <f t="shared" si="29"/>
        <v>1750</v>
      </c>
      <c r="Y73" s="64">
        <f>SUMIFS(SAP!H:H,SAP!M:M,Retirement!F73,SAP!V:V,Retirement!B73)</f>
        <v>1750</v>
      </c>
      <c r="Z73" s="64">
        <f t="shared" si="7"/>
        <v>0</v>
      </c>
      <c r="AA73" s="64">
        <f t="shared" si="87"/>
        <v>1250</v>
      </c>
      <c r="AB73" s="62">
        <f t="shared" si="30"/>
        <v>500</v>
      </c>
      <c r="AC73" s="62">
        <f t="shared" si="31"/>
        <v>1750</v>
      </c>
      <c r="AD73" s="64">
        <f t="shared" si="86"/>
        <v>0</v>
      </c>
      <c r="AE73" s="64">
        <f t="shared" si="9"/>
        <v>0</v>
      </c>
      <c r="AF73" s="65"/>
      <c r="AG73" s="59"/>
    </row>
    <row r="74" spans="2:33">
      <c r="B74" s="66" t="s">
        <v>40</v>
      </c>
      <c r="C74" s="58" t="s">
        <v>189</v>
      </c>
      <c r="D74" s="59" t="s">
        <v>190</v>
      </c>
      <c r="E74" s="58" t="s">
        <v>12</v>
      </c>
      <c r="F74" s="60" t="s">
        <v>484</v>
      </c>
      <c r="G74" s="60" t="s">
        <v>485</v>
      </c>
      <c r="H74" s="60" t="s">
        <v>481</v>
      </c>
      <c r="I74" s="62">
        <v>14168342</v>
      </c>
      <c r="J74" s="61" t="s">
        <v>193</v>
      </c>
      <c r="K74" s="63">
        <v>0</v>
      </c>
      <c r="L74" s="62">
        <f t="shared" si="88"/>
        <v>14168342</v>
      </c>
      <c r="M74" s="62">
        <v>0</v>
      </c>
      <c r="N74" s="62">
        <v>1250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500</v>
      </c>
      <c r="V74" s="62">
        <v>315</v>
      </c>
      <c r="W74" s="63">
        <f>IFERROR(N74/L74*100,0)</f>
        <v>8.8224860749408791E-3</v>
      </c>
      <c r="X74" s="62">
        <f t="shared" si="29"/>
        <v>1750</v>
      </c>
      <c r="Y74" s="64">
        <f>SUMIFS(SAP!H:H,SAP!M:M,Retirement!F74,SAP!V:V,Retirement!B74)</f>
        <v>1750</v>
      </c>
      <c r="Z74" s="64">
        <f t="shared" si="7"/>
        <v>0</v>
      </c>
      <c r="AA74" s="64">
        <f t="shared" si="87"/>
        <v>1250</v>
      </c>
      <c r="AB74" s="62">
        <f t="shared" si="30"/>
        <v>500</v>
      </c>
      <c r="AC74" s="62">
        <f t="shared" si="31"/>
        <v>1750</v>
      </c>
      <c r="AD74" s="64">
        <f t="shared" si="86"/>
        <v>0</v>
      </c>
      <c r="AE74" s="64">
        <f t="shared" si="9"/>
        <v>0</v>
      </c>
      <c r="AF74" s="65"/>
      <c r="AG74" s="59"/>
    </row>
    <row r="75" spans="2:33">
      <c r="B75" s="66" t="s">
        <v>40</v>
      </c>
      <c r="C75" s="58" t="s">
        <v>90</v>
      </c>
      <c r="D75" s="59" t="s">
        <v>190</v>
      </c>
      <c r="E75" s="58" t="s">
        <v>410</v>
      </c>
      <c r="F75" s="60" t="s">
        <v>486</v>
      </c>
      <c r="G75" s="60" t="s">
        <v>487</v>
      </c>
      <c r="H75" s="193">
        <v>46136</v>
      </c>
      <c r="I75" s="108">
        <v>246400</v>
      </c>
      <c r="J75" s="61" t="s">
        <v>371</v>
      </c>
      <c r="K75" s="109">
        <v>94.25</v>
      </c>
      <c r="L75" s="62">
        <f>I75*K75</f>
        <v>23223200</v>
      </c>
      <c r="M75" s="62">
        <v>0</v>
      </c>
      <c r="N75" s="62">
        <v>1250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500</v>
      </c>
      <c r="V75" s="62">
        <f>90+225+4990.18</f>
        <v>5305.18</v>
      </c>
      <c r="W75" s="63">
        <f>IFERROR(N75/L75*100,0)</f>
        <v>5.382548485996762E-3</v>
      </c>
      <c r="X75" s="62">
        <f t="shared" ref="X75:X76" si="89">SUM(M75:U75)</f>
        <v>1750</v>
      </c>
      <c r="Y75" s="64">
        <f>SUMIFS(SAP!H:H,SAP!L:L,Retirement!F75,SAP!V:V,Retirement!B75)</f>
        <v>1750</v>
      </c>
      <c r="Z75" s="64">
        <f t="shared" si="7"/>
        <v>0</v>
      </c>
      <c r="AA75" s="64">
        <f t="shared" si="87"/>
        <v>1250</v>
      </c>
      <c r="AB75" s="62">
        <f t="shared" ref="AB75:AB76" si="90">U75</f>
        <v>500</v>
      </c>
      <c r="AC75" s="62">
        <f t="shared" ref="AC75:AC76" si="91">AA75+AB75</f>
        <v>1750</v>
      </c>
      <c r="AD75" s="64">
        <f t="shared" si="86"/>
        <v>0</v>
      </c>
      <c r="AE75" s="64">
        <f t="shared" si="9"/>
        <v>0</v>
      </c>
      <c r="AF75" s="65"/>
      <c r="AG75" s="59"/>
    </row>
    <row r="76" spans="2:33">
      <c r="B76" s="66" t="s">
        <v>40</v>
      </c>
      <c r="C76" s="58" t="s">
        <v>90</v>
      </c>
      <c r="D76" s="59" t="s">
        <v>190</v>
      </c>
      <c r="E76" s="58" t="s">
        <v>410</v>
      </c>
      <c r="F76" s="60" t="s">
        <v>488</v>
      </c>
      <c r="G76" s="60" t="s">
        <v>489</v>
      </c>
      <c r="H76" s="193">
        <v>46129</v>
      </c>
      <c r="I76" s="108">
        <v>174935</v>
      </c>
      <c r="J76" s="61" t="s">
        <v>371</v>
      </c>
      <c r="K76" s="109">
        <v>93.12</v>
      </c>
      <c r="L76" s="62">
        <f>I76*K76</f>
        <v>16289947.200000001</v>
      </c>
      <c r="M76" s="62">
        <v>0</v>
      </c>
      <c r="N76" s="62">
        <v>1250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500</v>
      </c>
      <c r="V76" s="62">
        <f>90+225+3742.19</f>
        <v>4057.19</v>
      </c>
      <c r="W76" s="63">
        <f>IFERROR(N76/L76*100,0)</f>
        <v>7.673444147197726E-3</v>
      </c>
      <c r="X76" s="62">
        <f t="shared" si="89"/>
        <v>1750</v>
      </c>
      <c r="Y76" s="64">
        <f>SUMIFS(SAP!H:H,SAP!L:L,Retirement!F76,SAP!V:V,Retirement!B76)</f>
        <v>1750</v>
      </c>
      <c r="Z76" s="64">
        <f t="shared" si="7"/>
        <v>0</v>
      </c>
      <c r="AA76" s="64">
        <f t="shared" si="87"/>
        <v>1250</v>
      </c>
      <c r="AB76" s="62">
        <f t="shared" si="90"/>
        <v>500</v>
      </c>
      <c r="AC76" s="62">
        <f t="shared" si="91"/>
        <v>1750</v>
      </c>
      <c r="AD76" s="64">
        <f t="shared" si="86"/>
        <v>0</v>
      </c>
      <c r="AE76" s="64">
        <f t="shared" si="9"/>
        <v>0</v>
      </c>
      <c r="AF76" s="65"/>
      <c r="AG76" s="59"/>
    </row>
    <row r="77" spans="2:33">
      <c r="B77" s="66" t="s">
        <v>40</v>
      </c>
      <c r="C77" s="58" t="s">
        <v>90</v>
      </c>
      <c r="D77" s="59" t="s">
        <v>312</v>
      </c>
      <c r="E77" s="58" t="s">
        <v>373</v>
      </c>
      <c r="F77" s="60" t="s">
        <v>490</v>
      </c>
      <c r="G77" s="60"/>
      <c r="H77" s="193">
        <v>46125</v>
      </c>
      <c r="I77" s="108">
        <v>229234.72</v>
      </c>
      <c r="J77" s="61" t="s">
        <v>371</v>
      </c>
      <c r="K77" s="109">
        <v>93.37</v>
      </c>
      <c r="L77" s="62">
        <f>I77*K77</f>
        <v>21403645.806400001</v>
      </c>
      <c r="M77" s="62">
        <v>0</v>
      </c>
      <c r="N77" s="62">
        <v>0</v>
      </c>
      <c r="O77" s="252">
        <f>30000+9337</f>
        <v>39337</v>
      </c>
      <c r="P77" s="62">
        <v>362014.54</v>
      </c>
      <c r="Q77" s="62">
        <v>0</v>
      </c>
      <c r="R77" s="62">
        <v>0</v>
      </c>
      <c r="S77" s="62">
        <v>0</v>
      </c>
      <c r="T77" s="62">
        <v>0</v>
      </c>
      <c r="U77" s="62">
        <v>500</v>
      </c>
      <c r="V77" s="62">
        <f>5400+90+4729.5</f>
        <v>10219.5</v>
      </c>
      <c r="W77" s="63">
        <f>IFERROR(O77/L77*100,0)</f>
        <v>0.18378644627093232</v>
      </c>
      <c r="X77" s="62">
        <f>SUM(M77:U77)</f>
        <v>401851.54</v>
      </c>
      <c r="Y77" s="64">
        <f>SUMIFS(SAP!H:H,SAP!L:L,Retirement!F77,SAP!V:V,Retirement!B77)</f>
        <v>401851.16</v>
      </c>
      <c r="Z77" s="64">
        <f t="shared" si="7"/>
        <v>0</v>
      </c>
      <c r="AA77" s="64">
        <f>O77</f>
        <v>39337</v>
      </c>
      <c r="AB77" s="62">
        <f>U77+P77</f>
        <v>362514.54</v>
      </c>
      <c r="AC77" s="62">
        <f>AA77+AB77</f>
        <v>401851.54</v>
      </c>
      <c r="AD77" s="64">
        <f t="shared" si="86"/>
        <v>0</v>
      </c>
      <c r="AE77" s="64">
        <f>S77</f>
        <v>0</v>
      </c>
      <c r="AF77" s="65"/>
      <c r="AG77" s="59"/>
    </row>
    <row r="78" spans="2:33">
      <c r="B78" s="66" t="s">
        <v>40</v>
      </c>
      <c r="C78" s="58" t="s">
        <v>90</v>
      </c>
      <c r="D78" s="59" t="s">
        <v>312</v>
      </c>
      <c r="E78" s="58" t="s">
        <v>373</v>
      </c>
      <c r="F78" s="60" t="s">
        <v>491</v>
      </c>
      <c r="G78" s="60"/>
      <c r="H78" s="193">
        <v>46122</v>
      </c>
      <c r="I78" s="237">
        <v>1756216</v>
      </c>
      <c r="J78" s="61" t="s">
        <v>371</v>
      </c>
      <c r="K78" s="63">
        <v>0</v>
      </c>
      <c r="L78" s="62">
        <f t="shared" si="28"/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500</v>
      </c>
      <c r="V78" s="62">
        <v>90</v>
      </c>
      <c r="W78" s="63">
        <f t="shared" ref="W78:W84" si="92">IFERROR(N78/L78*100,0)</f>
        <v>0</v>
      </c>
      <c r="X78" s="62">
        <f t="shared" si="29"/>
        <v>500</v>
      </c>
      <c r="Y78" s="64">
        <f>SUMIFS(SAP!H:H,SAP!M:M,Retirement!F78,SAP!V:V,Retirement!B78)</f>
        <v>500</v>
      </c>
      <c r="Z78" s="64">
        <f t="shared" ref="Z78:Z84" si="93">ROUND(Y78-X78,0)</f>
        <v>0</v>
      </c>
      <c r="AA78" s="64">
        <v>0</v>
      </c>
      <c r="AB78" s="62">
        <f t="shared" si="30"/>
        <v>500</v>
      </c>
      <c r="AC78" s="62">
        <f t="shared" si="31"/>
        <v>500</v>
      </c>
      <c r="AD78" s="64">
        <f t="shared" si="86"/>
        <v>0</v>
      </c>
      <c r="AE78" s="64">
        <f t="shared" si="9"/>
        <v>0</v>
      </c>
      <c r="AF78" s="65"/>
      <c r="AG78" s="59"/>
    </row>
    <row r="79" spans="2:33">
      <c r="B79" s="66" t="s">
        <v>40</v>
      </c>
      <c r="C79" s="58" t="s">
        <v>90</v>
      </c>
      <c r="D79" s="59" t="s">
        <v>312</v>
      </c>
      <c r="E79" s="58" t="s">
        <v>373</v>
      </c>
      <c r="F79" s="60" t="s">
        <v>492</v>
      </c>
      <c r="G79" s="60"/>
      <c r="H79" s="193">
        <v>46134</v>
      </c>
      <c r="I79" s="237">
        <v>1756216</v>
      </c>
      <c r="J79" s="61" t="s">
        <v>371</v>
      </c>
      <c r="K79" s="63">
        <v>0</v>
      </c>
      <c r="L79" s="62">
        <f t="shared" si="28"/>
        <v>0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>
        <v>0</v>
      </c>
      <c r="U79" s="62">
        <v>500</v>
      </c>
      <c r="V79" s="62">
        <v>90</v>
      </c>
      <c r="W79" s="63">
        <f t="shared" si="92"/>
        <v>0</v>
      </c>
      <c r="X79" s="62">
        <f t="shared" si="29"/>
        <v>500</v>
      </c>
      <c r="Y79" s="64">
        <f>SUMIFS(SAP!H:H,SAP!M:M,Retirement!F79,SAP!V:V,Retirement!B79)</f>
        <v>500</v>
      </c>
      <c r="Z79" s="64">
        <f t="shared" si="93"/>
        <v>0</v>
      </c>
      <c r="AA79" s="64">
        <v>0</v>
      </c>
      <c r="AB79" s="62">
        <f t="shared" si="30"/>
        <v>500</v>
      </c>
      <c r="AC79" s="62">
        <f t="shared" si="31"/>
        <v>500</v>
      </c>
      <c r="AD79" s="64">
        <f t="shared" si="86"/>
        <v>0</v>
      </c>
      <c r="AE79" s="64">
        <f t="shared" si="9"/>
        <v>0</v>
      </c>
      <c r="AF79" s="65"/>
      <c r="AG79" s="59"/>
    </row>
    <row r="80" spans="2:33">
      <c r="B80" s="66" t="s">
        <v>40</v>
      </c>
      <c r="C80" s="253" t="s">
        <v>90</v>
      </c>
      <c r="D80" s="254" t="s">
        <v>312</v>
      </c>
      <c r="E80" s="253" t="s">
        <v>493</v>
      </c>
      <c r="F80" s="255" t="s">
        <v>494</v>
      </c>
      <c r="G80" s="255"/>
      <c r="H80" s="193">
        <v>46125</v>
      </c>
      <c r="I80" s="258">
        <v>1176249.3600000001</v>
      </c>
      <c r="J80" s="256" t="s">
        <v>371</v>
      </c>
      <c r="K80" s="259">
        <v>93.37</v>
      </c>
      <c r="L80" s="257">
        <f>I80*K80</f>
        <v>109826402.74320002</v>
      </c>
      <c r="M80" s="62">
        <v>0</v>
      </c>
      <c r="N80" s="62">
        <v>0</v>
      </c>
      <c r="O80" s="257">
        <v>9337</v>
      </c>
      <c r="P80" s="257">
        <v>1857569.23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3">
        <f t="shared" si="92"/>
        <v>0</v>
      </c>
      <c r="X80" s="62">
        <f t="shared" si="29"/>
        <v>1866906.23</v>
      </c>
      <c r="Y80" s="64">
        <f>SUMIFS(SAP!H:H,SAP!L:L,Retirement!F80,SAP!P:P, "retirement chgs",SAP!V:V, "2027/01")</f>
        <v>1866906.07</v>
      </c>
      <c r="Z80" s="64">
        <f t="shared" si="93"/>
        <v>0</v>
      </c>
      <c r="AA80" s="64">
        <f>O80+P80</f>
        <v>1866906.23</v>
      </c>
      <c r="AB80" s="62">
        <f t="shared" si="30"/>
        <v>0</v>
      </c>
      <c r="AC80" s="62">
        <f t="shared" si="31"/>
        <v>1866906.23</v>
      </c>
      <c r="AD80" s="64">
        <f t="shared" ref="AD80" si="94">X80-AC80</f>
        <v>0</v>
      </c>
      <c r="AE80" s="64">
        <f t="shared" si="9"/>
        <v>0</v>
      </c>
      <c r="AF80" s="65"/>
      <c r="AG80" s="59"/>
    </row>
    <row r="81" spans="2:33">
      <c r="B81" s="66" t="s">
        <v>40</v>
      </c>
      <c r="C81" s="253" t="s">
        <v>189</v>
      </c>
      <c r="D81" s="254" t="s">
        <v>387</v>
      </c>
      <c r="E81" s="253" t="s">
        <v>11</v>
      </c>
      <c r="F81" s="255" t="s">
        <v>495</v>
      </c>
      <c r="G81" s="261">
        <v>2510130390626640</v>
      </c>
      <c r="H81" s="193">
        <v>46133</v>
      </c>
      <c r="I81" s="258">
        <v>20000000</v>
      </c>
      <c r="J81" s="256" t="s">
        <v>193</v>
      </c>
      <c r="K81" s="259"/>
      <c r="L81" s="262">
        <v>20000000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-8334</v>
      </c>
      <c r="S81" s="62">
        <v>0</v>
      </c>
      <c r="T81" s="62">
        <v>0</v>
      </c>
      <c r="U81" s="62">
        <v>0</v>
      </c>
      <c r="V81" s="257">
        <f>750*2</f>
        <v>1500</v>
      </c>
      <c r="W81" s="63">
        <f t="shared" si="92"/>
        <v>0</v>
      </c>
      <c r="X81" s="62">
        <f t="shared" ref="X81" si="95">SUM(M81:U81)</f>
        <v>-8334</v>
      </c>
      <c r="Y81" s="64">
        <f>SUMIFS(SAP!H:H,SAP!L:L,Retirement!F81,SAP!P:P, "reversal",SAP!V:V, "2027/01")</f>
        <v>-8333.33</v>
      </c>
      <c r="Z81" s="64">
        <f t="shared" si="93"/>
        <v>1</v>
      </c>
      <c r="AA81" s="64">
        <f>O81+P81</f>
        <v>0</v>
      </c>
      <c r="AB81" s="62">
        <f>R81</f>
        <v>-8334</v>
      </c>
      <c r="AC81" s="62">
        <f t="shared" si="31"/>
        <v>-8334</v>
      </c>
      <c r="AD81" s="64">
        <f t="shared" ref="AD81" si="96">X81-AC81</f>
        <v>0</v>
      </c>
      <c r="AE81" s="64">
        <f t="shared" ref="AE81" si="97">S81</f>
        <v>0</v>
      </c>
      <c r="AF81" s="260"/>
      <c r="AG81" s="254"/>
    </row>
    <row r="82" spans="2:33">
      <c r="B82" s="66" t="s">
        <v>40</v>
      </c>
      <c r="C82" s="253" t="s">
        <v>189</v>
      </c>
      <c r="D82" s="254" t="s">
        <v>387</v>
      </c>
      <c r="E82" s="253" t="s">
        <v>11</v>
      </c>
      <c r="F82" s="255" t="s">
        <v>496</v>
      </c>
      <c r="G82" s="261">
        <v>2510150390945490</v>
      </c>
      <c r="H82" s="193">
        <v>46133</v>
      </c>
      <c r="I82" s="258">
        <v>30000000</v>
      </c>
      <c r="J82" s="256" t="s">
        <v>193</v>
      </c>
      <c r="K82" s="259"/>
      <c r="L82" s="259">
        <v>30000000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-12500</v>
      </c>
      <c r="S82" s="62">
        <v>0</v>
      </c>
      <c r="T82" s="62">
        <v>0</v>
      </c>
      <c r="U82" s="62">
        <v>0</v>
      </c>
      <c r="V82" s="257">
        <v>2250</v>
      </c>
      <c r="W82" s="63">
        <f t="shared" si="92"/>
        <v>0</v>
      </c>
      <c r="X82" s="62">
        <f t="shared" ref="X82" si="98">SUM(M82:U82)</f>
        <v>-12500</v>
      </c>
      <c r="Y82" s="64">
        <f>SUMIFS(SAP!H:H,SAP!L:L,Retirement!F82,SAP!P:P, "reversal",SAP!V:V, "2027/01")</f>
        <v>-12500</v>
      </c>
      <c r="Z82" s="64">
        <f t="shared" si="93"/>
        <v>0</v>
      </c>
      <c r="AA82" s="64">
        <f>O82+P82</f>
        <v>0</v>
      </c>
      <c r="AB82" s="62">
        <f>R82</f>
        <v>-12500</v>
      </c>
      <c r="AC82" s="62">
        <f t="shared" ref="AC82" si="99">AA82+AB82</f>
        <v>-12500</v>
      </c>
      <c r="AD82" s="64">
        <f t="shared" ref="AD82" si="100">X82-AC82</f>
        <v>0</v>
      </c>
      <c r="AE82" s="64">
        <f t="shared" ref="AE82" si="101">S82</f>
        <v>0</v>
      </c>
      <c r="AF82" s="260"/>
      <c r="AG82" s="254"/>
    </row>
    <row r="83" spans="2:33">
      <c r="B83" s="66" t="s">
        <v>40</v>
      </c>
      <c r="C83" s="253" t="s">
        <v>189</v>
      </c>
      <c r="D83" s="254" t="s">
        <v>387</v>
      </c>
      <c r="E83" s="253" t="s">
        <v>11</v>
      </c>
      <c r="F83" s="255" t="s">
        <v>497</v>
      </c>
      <c r="G83" s="261">
        <v>2510160391086950</v>
      </c>
      <c r="H83" s="193">
        <v>46133</v>
      </c>
      <c r="I83" s="258">
        <v>50000000</v>
      </c>
      <c r="J83" s="256" t="s">
        <v>193</v>
      </c>
      <c r="K83" s="259"/>
      <c r="L83" s="259">
        <v>50000000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-20833</v>
      </c>
      <c r="S83" s="62">
        <v>0</v>
      </c>
      <c r="T83" s="62">
        <v>0</v>
      </c>
      <c r="U83" s="62">
        <v>0</v>
      </c>
      <c r="V83" s="257">
        <v>3750</v>
      </c>
      <c r="W83" s="63">
        <f t="shared" si="92"/>
        <v>0</v>
      </c>
      <c r="X83" s="62">
        <f t="shared" ref="X83" si="102">SUM(M83:U83)</f>
        <v>-20833</v>
      </c>
      <c r="Y83" s="64">
        <f>SUMIFS(SAP!H:H,SAP!L:L,Retirement!F83,SAP!P:P, "reversal",SAP!V:V, "2027/01")</f>
        <v>-20833.330000000002</v>
      </c>
      <c r="Z83" s="64">
        <f t="shared" si="93"/>
        <v>0</v>
      </c>
      <c r="AA83" s="64">
        <f>O83+P83</f>
        <v>0</v>
      </c>
      <c r="AB83" s="62">
        <f>R83</f>
        <v>-20833</v>
      </c>
      <c r="AC83" s="62">
        <f t="shared" ref="AC83" si="103">AA83+AB83</f>
        <v>-20833</v>
      </c>
      <c r="AD83" s="64">
        <f t="shared" ref="AD83" si="104">X83-AC83</f>
        <v>0</v>
      </c>
      <c r="AE83" s="64">
        <f t="shared" ref="AE83" si="105">S83</f>
        <v>0</v>
      </c>
      <c r="AF83" s="260"/>
      <c r="AG83" s="254"/>
    </row>
    <row r="84" spans="2:33">
      <c r="B84" s="66" t="s">
        <v>40</v>
      </c>
      <c r="C84" s="253" t="s">
        <v>189</v>
      </c>
      <c r="D84" s="254" t="s">
        <v>387</v>
      </c>
      <c r="E84" s="253" t="s">
        <v>12</v>
      </c>
      <c r="F84" s="255" t="s">
        <v>498</v>
      </c>
      <c r="G84" s="261">
        <v>2510310393590840</v>
      </c>
      <c r="H84" s="193">
        <v>46121</v>
      </c>
      <c r="I84" s="258">
        <v>24000000</v>
      </c>
      <c r="J84" s="256" t="s">
        <v>193</v>
      </c>
      <c r="K84" s="259"/>
      <c r="L84" s="259">
        <v>24000000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-23000</v>
      </c>
      <c r="S84" s="62">
        <v>0</v>
      </c>
      <c r="T84" s="62">
        <v>0</v>
      </c>
      <c r="U84" s="62">
        <v>0</v>
      </c>
      <c r="V84" s="257">
        <v>4140</v>
      </c>
      <c r="W84" s="63">
        <f t="shared" si="92"/>
        <v>0</v>
      </c>
      <c r="X84" s="62">
        <f t="shared" ref="X84" si="106">SUM(M84:U84)</f>
        <v>-23000</v>
      </c>
      <c r="Y84" s="64">
        <f>SUMIFS(SAP!H:H,SAP!L:L,Retirement!F84,SAP!P:P, "reversal",SAP!V:V, "2027/01")</f>
        <v>-23000</v>
      </c>
      <c r="Z84" s="64">
        <f t="shared" si="93"/>
        <v>0</v>
      </c>
      <c r="AA84" s="64">
        <f>O84+P84</f>
        <v>0</v>
      </c>
      <c r="AB84" s="62">
        <f>R84</f>
        <v>-23000</v>
      </c>
      <c r="AC84" s="62">
        <f t="shared" ref="AC84" si="107">AA84+AB84</f>
        <v>-23000</v>
      </c>
      <c r="AD84" s="64">
        <f t="shared" ref="AD84" si="108">X84-AC84</f>
        <v>0</v>
      </c>
      <c r="AE84" s="64">
        <f t="shared" ref="AE84" si="109">S84</f>
        <v>0</v>
      </c>
      <c r="AF84" s="260"/>
      <c r="AG84" s="254"/>
    </row>
    <row r="85" spans="2:33">
      <c r="C85" s="279" t="s">
        <v>44</v>
      </c>
      <c r="D85" s="279"/>
      <c r="E85" s="279"/>
      <c r="F85" s="279"/>
      <c r="G85" s="279"/>
      <c r="H85" s="279"/>
      <c r="I85" s="172">
        <f>SUM(I14:I84)</f>
        <v>303530031.25</v>
      </c>
      <c r="J85" s="172"/>
      <c r="K85" s="172">
        <f t="shared" ref="K85:V85" si="110">SUM(K14:K84)</f>
        <v>3531.2720325787213</v>
      </c>
      <c r="L85" s="172">
        <f t="shared" si="110"/>
        <v>1333764833.1320004</v>
      </c>
      <c r="M85" s="172">
        <f t="shared" si="110"/>
        <v>777423.71</v>
      </c>
      <c r="N85" s="172">
        <f t="shared" si="110"/>
        <v>108250</v>
      </c>
      <c r="O85" s="172">
        <f t="shared" si="110"/>
        <v>57972.5</v>
      </c>
      <c r="P85" s="172">
        <f t="shared" si="110"/>
        <v>4634789.49</v>
      </c>
      <c r="Q85" s="172">
        <f t="shared" si="110"/>
        <v>-53786.75</v>
      </c>
      <c r="R85" s="172">
        <f t="shared" si="110"/>
        <v>-64667</v>
      </c>
      <c r="S85" s="172">
        <f t="shared" si="110"/>
        <v>59505.350000000006</v>
      </c>
      <c r="T85" s="172">
        <f t="shared" si="110"/>
        <v>2500</v>
      </c>
      <c r="U85" s="172">
        <f t="shared" si="110"/>
        <v>4550</v>
      </c>
      <c r="V85" s="172">
        <f t="shared" si="110"/>
        <v>78295.722000000009</v>
      </c>
      <c r="W85" s="172"/>
      <c r="X85" s="172">
        <f t="shared" ref="X85:AE85" si="111">SUM(X14:X84)</f>
        <v>5526537.3000000007</v>
      </c>
      <c r="Y85" s="172">
        <f t="shared" si="111"/>
        <v>5526536.9000000004</v>
      </c>
      <c r="Z85" s="172">
        <f t="shared" si="111"/>
        <v>0</v>
      </c>
      <c r="AA85" s="172">
        <f t="shared" si="111"/>
        <v>2791916.94</v>
      </c>
      <c r="AB85" s="172">
        <f t="shared" si="111"/>
        <v>2734620.36</v>
      </c>
      <c r="AC85" s="172">
        <f t="shared" si="111"/>
        <v>5526537.3000000007</v>
      </c>
      <c r="AD85" s="172">
        <f t="shared" si="111"/>
        <v>0</v>
      </c>
      <c r="AE85" s="172">
        <f t="shared" si="111"/>
        <v>59505.350000000006</v>
      </c>
      <c r="AF85" s="171"/>
      <c r="AG85" s="171"/>
    </row>
    <row r="120" spans="8:9">
      <c r="H120" t="s">
        <v>233</v>
      </c>
      <c r="I120" t="str">
        <f t="shared" ref="I120:I126" si="112">VLOOKUP(H120,F:F,1,FALSE)</f>
        <v>469BC63260990002</v>
      </c>
    </row>
    <row r="121" spans="8:9">
      <c r="H121" t="s">
        <v>234</v>
      </c>
      <c r="I121" t="str">
        <f t="shared" si="112"/>
        <v>469BC63260990003</v>
      </c>
    </row>
    <row r="122" spans="8:9">
      <c r="H122" t="s">
        <v>235</v>
      </c>
      <c r="I122" t="str">
        <f t="shared" si="112"/>
        <v>469BC73260920020</v>
      </c>
    </row>
    <row r="123" spans="8:9">
      <c r="H123" t="s">
        <v>236</v>
      </c>
      <c r="I123" t="str">
        <f t="shared" si="112"/>
        <v>469BC73260940004</v>
      </c>
    </row>
    <row r="124" spans="8:9">
      <c r="H124" t="s">
        <v>237</v>
      </c>
      <c r="I124" t="str">
        <f t="shared" si="112"/>
        <v>469BC73260970007</v>
      </c>
    </row>
    <row r="125" spans="8:9">
      <c r="H125" t="s">
        <v>238</v>
      </c>
      <c r="I125" t="str">
        <f t="shared" si="112"/>
        <v>469BC73260990003</v>
      </c>
    </row>
    <row r="126" spans="8:9">
      <c r="H126" t="s">
        <v>118</v>
      </c>
      <c r="I126" t="e">
        <f t="shared" si="112"/>
        <v>#N/A</v>
      </c>
    </row>
  </sheetData>
  <autoFilter ref="B12:AH85"/>
  <mergeCells count="3">
    <mergeCell ref="M11:Z11"/>
    <mergeCell ref="C85:H85"/>
    <mergeCell ref="AA11:AE11"/>
  </mergeCells>
  <conditionalFormatting sqref="F13:G79">
    <cfRule type="duplicateValues" dxfId="5" priority="158"/>
  </conditionalFormatting>
  <conditionalFormatting sqref="F13:F79">
    <cfRule type="duplicateValues" dxfId="4" priority="2"/>
  </conditionalFormatting>
  <conditionalFormatting sqref="F80:G84">
    <cfRule type="duplicateValues" dxfId="3" priority="16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F11"/>
  <sheetViews>
    <sheetView workbookViewId="0">
      <selection activeCell="C13" sqref="C13"/>
    </sheetView>
  </sheetViews>
  <sheetFormatPr defaultRowHeight="15"/>
  <cols>
    <col min="3" max="3" width="35" bestFit="1" customWidth="1"/>
    <col min="4" max="4" width="23" bestFit="1" customWidth="1"/>
  </cols>
  <sheetData>
    <row r="2" spans="2:6">
      <c r="B2" s="52" t="s">
        <v>3</v>
      </c>
      <c r="C2" s="51" t="s">
        <v>45</v>
      </c>
      <c r="D2" s="52" t="s">
        <v>389</v>
      </c>
      <c r="E2" s="55" t="s">
        <v>199</v>
      </c>
      <c r="F2" s="54" t="s">
        <v>68</v>
      </c>
    </row>
    <row r="3" spans="2:6">
      <c r="B3" s="59" t="s">
        <v>51</v>
      </c>
      <c r="C3" s="58" t="s">
        <v>459</v>
      </c>
      <c r="D3" s="60" t="s">
        <v>233</v>
      </c>
      <c r="E3" s="62">
        <v>24998.3</v>
      </c>
      <c r="F3" s="61" t="s">
        <v>96</v>
      </c>
    </row>
    <row r="4" spans="2:6">
      <c r="B4" s="59" t="s">
        <v>51</v>
      </c>
      <c r="C4" s="58" t="s">
        <v>461</v>
      </c>
      <c r="D4" s="60" t="s">
        <v>234</v>
      </c>
      <c r="E4" s="62">
        <v>238985.37</v>
      </c>
      <c r="F4" s="61" t="s">
        <v>371</v>
      </c>
    </row>
    <row r="5" spans="2:6">
      <c r="B5" s="59" t="s">
        <v>51</v>
      </c>
      <c r="C5" s="58" t="s">
        <v>463</v>
      </c>
      <c r="D5" s="60" t="s">
        <v>235</v>
      </c>
      <c r="E5" s="62">
        <v>129009.24</v>
      </c>
      <c r="F5" s="61" t="s">
        <v>96</v>
      </c>
    </row>
    <row r="6" spans="2:6">
      <c r="B6" s="59" t="s">
        <v>51</v>
      </c>
      <c r="C6" s="58" t="s">
        <v>465</v>
      </c>
      <c r="D6" s="60" t="s">
        <v>236</v>
      </c>
      <c r="E6" s="62">
        <v>198384.05</v>
      </c>
      <c r="F6" s="61" t="s">
        <v>96</v>
      </c>
    </row>
    <row r="7" spans="2:6">
      <c r="B7" s="59" t="s">
        <v>51</v>
      </c>
      <c r="C7" s="58" t="s">
        <v>467</v>
      </c>
      <c r="D7" s="60" t="s">
        <v>237</v>
      </c>
      <c r="E7" s="62">
        <v>25209.15</v>
      </c>
      <c r="F7" s="61" t="s">
        <v>96</v>
      </c>
    </row>
    <row r="8" spans="2:6">
      <c r="B8" s="59" t="s">
        <v>51</v>
      </c>
      <c r="C8" s="58" t="s">
        <v>469</v>
      </c>
      <c r="D8" s="60" t="s">
        <v>238</v>
      </c>
      <c r="E8" s="62">
        <v>147979.24</v>
      </c>
      <c r="F8" s="61" t="s">
        <v>96</v>
      </c>
    </row>
    <row r="9" spans="2:6">
      <c r="B9" s="59" t="s">
        <v>51</v>
      </c>
      <c r="C9" s="58" t="s">
        <v>440</v>
      </c>
      <c r="D9" s="60" t="s">
        <v>250</v>
      </c>
      <c r="E9" s="62">
        <v>455971.17</v>
      </c>
      <c r="F9" s="61" t="s">
        <v>96</v>
      </c>
    </row>
    <row r="10" spans="2:6">
      <c r="B10" s="59" t="s">
        <v>312</v>
      </c>
      <c r="C10" s="58" t="s">
        <v>373</v>
      </c>
      <c r="D10" s="60" t="s">
        <v>491</v>
      </c>
      <c r="E10" s="108">
        <v>1756216</v>
      </c>
      <c r="F10" s="61" t="s">
        <v>371</v>
      </c>
    </row>
    <row r="11" spans="2:6">
      <c r="B11" s="59" t="s">
        <v>312</v>
      </c>
      <c r="C11" s="58" t="s">
        <v>373</v>
      </c>
      <c r="D11" s="60" t="s">
        <v>492</v>
      </c>
      <c r="E11" s="108">
        <v>1756216</v>
      </c>
      <c r="F11" s="61" t="s">
        <v>371</v>
      </c>
    </row>
  </sheetData>
  <conditionalFormatting sqref="D3:D11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1:Y521"/>
  <sheetViews>
    <sheetView workbookViewId="0">
      <pane ySplit="1" topLeftCell="A475" activePane="bottomLeft" state="frozen"/>
      <selection pane="bottomLeft" activeCell="H475" sqref="H475"/>
    </sheetView>
  </sheetViews>
  <sheetFormatPr defaultRowHeight="15"/>
  <cols>
    <col min="1" max="1" width="14.85546875" bestFit="1" customWidth="1"/>
    <col min="2" max="2" width="22.140625" bestFit="1" customWidth="1"/>
    <col min="3" max="3" width="16.85546875" bestFit="1" customWidth="1"/>
    <col min="4" max="4" width="13.28515625" bestFit="1" customWidth="1"/>
    <col min="6" max="6" width="14.140625" bestFit="1" customWidth="1"/>
    <col min="7" max="7" width="11" bestFit="1" customWidth="1"/>
    <col min="8" max="8" width="13.7109375" bestFit="1" customWidth="1"/>
    <col min="11" max="11" width="17.140625" bestFit="1" customWidth="1"/>
    <col min="12" max="12" width="20.85546875" bestFit="1" customWidth="1"/>
    <col min="13" max="13" width="20.85546875" customWidth="1"/>
    <col min="14" max="14" width="11.5703125" bestFit="1" customWidth="1"/>
    <col min="15" max="15" width="8.5703125" bestFit="1" customWidth="1"/>
    <col min="16" max="16" width="15.28515625" bestFit="1" customWidth="1"/>
    <col min="17" max="17" width="60" bestFit="1" customWidth="1"/>
    <col min="18" max="18" width="16.140625" customWidth="1"/>
    <col min="19" max="19" width="1.7109375" bestFit="1" customWidth="1"/>
    <col min="20" max="20" width="18" bestFit="1" customWidth="1"/>
    <col min="21" max="21" width="16.28515625" bestFit="1" customWidth="1"/>
    <col min="22" max="22" width="10.7109375" bestFit="1" customWidth="1"/>
    <col min="23" max="23" width="8.42578125" bestFit="1" customWidth="1"/>
    <col min="24" max="24" width="9.140625" bestFit="1" customWidth="1"/>
  </cols>
  <sheetData>
    <row r="1" spans="1:24" ht="26.25">
      <c r="A1" s="98" t="s">
        <v>499</v>
      </c>
      <c r="B1" s="99" t="s">
        <v>500</v>
      </c>
      <c r="C1" s="99" t="s">
        <v>501</v>
      </c>
      <c r="D1" s="99" t="s">
        <v>502</v>
      </c>
      <c r="E1" s="100" t="s">
        <v>503</v>
      </c>
      <c r="F1" s="99" t="s">
        <v>504</v>
      </c>
      <c r="G1" s="99" t="s">
        <v>505</v>
      </c>
      <c r="H1" s="100" t="s">
        <v>506</v>
      </c>
      <c r="I1" s="100" t="s">
        <v>507</v>
      </c>
      <c r="J1" s="99" t="s">
        <v>508</v>
      </c>
      <c r="K1" s="99" t="s">
        <v>509</v>
      </c>
      <c r="L1" s="99" t="s">
        <v>510</v>
      </c>
      <c r="M1" s="105"/>
      <c r="N1" s="99" t="s">
        <v>511</v>
      </c>
      <c r="O1" s="99" t="s">
        <v>512</v>
      </c>
      <c r="P1" s="104" t="s">
        <v>513</v>
      </c>
      <c r="Q1" s="99" t="s">
        <v>514</v>
      </c>
      <c r="R1" s="105" t="s">
        <v>515</v>
      </c>
      <c r="S1" s="99" t="s">
        <v>14</v>
      </c>
      <c r="T1" s="99" t="s">
        <v>516</v>
      </c>
      <c r="U1" s="99" t="s">
        <v>517</v>
      </c>
      <c r="V1" s="99" t="s">
        <v>518</v>
      </c>
      <c r="W1" s="99" t="s">
        <v>519</v>
      </c>
      <c r="X1" t="s">
        <v>520</v>
      </c>
    </row>
    <row r="2" spans="1:24" hidden="1">
      <c r="A2" s="101"/>
      <c r="B2" s="101">
        <v>20260402</v>
      </c>
      <c r="C2" s="101">
        <v>100000178</v>
      </c>
      <c r="D2" s="101" t="s">
        <v>521</v>
      </c>
      <c r="E2" s="101" t="s">
        <v>522</v>
      </c>
      <c r="F2" s="102">
        <v>46057</v>
      </c>
      <c r="G2" s="101">
        <v>40</v>
      </c>
      <c r="H2" s="103">
        <v>15381.8</v>
      </c>
      <c r="I2" s="101" t="s">
        <v>193</v>
      </c>
      <c r="J2" s="101"/>
      <c r="K2" s="101"/>
      <c r="L2" s="101" t="s">
        <v>244</v>
      </c>
      <c r="M2" s="101"/>
      <c r="N2" s="101">
        <v>1021</v>
      </c>
      <c r="O2" s="101"/>
      <c r="P2" s="101" t="s">
        <v>523</v>
      </c>
      <c r="Q2" s="101" t="s">
        <v>524</v>
      </c>
      <c r="R2" s="101"/>
      <c r="S2" s="101"/>
      <c r="T2" s="101"/>
      <c r="U2" s="101"/>
      <c r="V2" s="101" t="s">
        <v>40</v>
      </c>
      <c r="W2" s="101">
        <v>4501501</v>
      </c>
      <c r="X2" t="str">
        <f>VLOOKUP(L2,L:P,5,FALSE)</f>
        <v>Retirement Chgs</v>
      </c>
    </row>
    <row r="3" spans="1:24" hidden="1">
      <c r="A3" s="101"/>
      <c r="B3" s="101">
        <v>20260402</v>
      </c>
      <c r="C3" s="101">
        <v>100000179</v>
      </c>
      <c r="D3" s="101" t="s">
        <v>521</v>
      </c>
      <c r="E3" s="101" t="s">
        <v>522</v>
      </c>
      <c r="F3" s="102">
        <v>46057</v>
      </c>
      <c r="G3" s="101">
        <v>40</v>
      </c>
      <c r="H3" s="103">
        <v>12964.66</v>
      </c>
      <c r="I3" s="101" t="s">
        <v>193</v>
      </c>
      <c r="J3" s="101"/>
      <c r="K3" s="101"/>
      <c r="L3" s="101" t="s">
        <v>243</v>
      </c>
      <c r="M3" s="101"/>
      <c r="N3" s="101">
        <v>1021</v>
      </c>
      <c r="O3" s="101"/>
      <c r="P3" s="101" t="s">
        <v>523</v>
      </c>
      <c r="Q3" s="101" t="s">
        <v>525</v>
      </c>
      <c r="R3" s="101"/>
      <c r="S3" s="101"/>
      <c r="T3" s="101"/>
      <c r="U3" s="101"/>
      <c r="V3" s="101" t="s">
        <v>40</v>
      </c>
      <c r="W3" s="101">
        <v>4501501</v>
      </c>
      <c r="X3" t="str">
        <f t="shared" ref="X3:X66" si="0">VLOOKUP(L3,L:P,5,FALSE)</f>
        <v>Retirement Chgs</v>
      </c>
    </row>
    <row r="4" spans="1:24" hidden="1">
      <c r="A4" s="101"/>
      <c r="B4" s="101">
        <v>20260402</v>
      </c>
      <c r="C4" s="101">
        <v>100000180</v>
      </c>
      <c r="D4" s="101" t="s">
        <v>521</v>
      </c>
      <c r="E4" s="101" t="s">
        <v>522</v>
      </c>
      <c r="F4" s="102">
        <v>46057</v>
      </c>
      <c r="G4" s="101">
        <v>40</v>
      </c>
      <c r="H4" s="103">
        <v>12964.66</v>
      </c>
      <c r="I4" s="101" t="s">
        <v>193</v>
      </c>
      <c r="J4" s="101"/>
      <c r="K4" s="101"/>
      <c r="L4" s="101" t="s">
        <v>242</v>
      </c>
      <c r="M4" s="101"/>
      <c r="N4" s="101">
        <v>1021</v>
      </c>
      <c r="O4" s="101"/>
      <c r="P4" s="101" t="s">
        <v>523</v>
      </c>
      <c r="Q4" s="101" t="s">
        <v>526</v>
      </c>
      <c r="R4" s="101"/>
      <c r="S4" s="101"/>
      <c r="T4" s="101"/>
      <c r="U4" s="101"/>
      <c r="V4" s="101" t="s">
        <v>40</v>
      </c>
      <c r="W4" s="101">
        <v>4501501</v>
      </c>
      <c r="X4" t="str">
        <f t="shared" si="0"/>
        <v>Retirement Chgs</v>
      </c>
    </row>
    <row r="5" spans="1:24" hidden="1">
      <c r="A5" s="101"/>
      <c r="B5" s="101">
        <v>20260402</v>
      </c>
      <c r="C5" s="101">
        <v>100000181</v>
      </c>
      <c r="D5" s="101" t="s">
        <v>521</v>
      </c>
      <c r="E5" s="101" t="s">
        <v>522</v>
      </c>
      <c r="F5" s="102">
        <v>46057</v>
      </c>
      <c r="G5" s="101">
        <v>40</v>
      </c>
      <c r="H5" s="103">
        <v>12964.66</v>
      </c>
      <c r="I5" s="101" t="s">
        <v>193</v>
      </c>
      <c r="J5" s="101"/>
      <c r="K5" s="101"/>
      <c r="L5" s="101" t="s">
        <v>239</v>
      </c>
      <c r="M5" s="101"/>
      <c r="N5" s="101">
        <v>1021</v>
      </c>
      <c r="O5" s="101"/>
      <c r="P5" s="101" t="s">
        <v>523</v>
      </c>
      <c r="Q5" s="101" t="s">
        <v>527</v>
      </c>
      <c r="R5" s="101"/>
      <c r="S5" s="101"/>
      <c r="T5" s="101"/>
      <c r="U5" s="101"/>
      <c r="V5" s="101" t="s">
        <v>40</v>
      </c>
      <c r="W5" s="101">
        <v>4501501</v>
      </c>
      <c r="X5" t="str">
        <f t="shared" si="0"/>
        <v>Retirement Chgs</v>
      </c>
    </row>
    <row r="6" spans="1:24" hidden="1">
      <c r="A6" s="101"/>
      <c r="B6" s="101">
        <v>20260402</v>
      </c>
      <c r="C6" s="101">
        <v>100000182</v>
      </c>
      <c r="D6" s="101" t="s">
        <v>521</v>
      </c>
      <c r="E6" s="101" t="s">
        <v>522</v>
      </c>
      <c r="F6" s="102">
        <v>46057</v>
      </c>
      <c r="G6" s="101">
        <v>40</v>
      </c>
      <c r="H6" s="103">
        <v>12964.66</v>
      </c>
      <c r="I6" s="101" t="s">
        <v>193</v>
      </c>
      <c r="J6" s="101"/>
      <c r="K6" s="101"/>
      <c r="L6" s="101" t="s">
        <v>240</v>
      </c>
      <c r="M6" s="101"/>
      <c r="N6" s="101">
        <v>1021</v>
      </c>
      <c r="O6" s="101"/>
      <c r="P6" s="101" t="s">
        <v>523</v>
      </c>
      <c r="Q6" s="101" t="s">
        <v>528</v>
      </c>
      <c r="R6" s="101"/>
      <c r="S6" s="101"/>
      <c r="T6" s="101"/>
      <c r="U6" s="101"/>
      <c r="V6" s="101" t="s">
        <v>40</v>
      </c>
      <c r="W6" s="101">
        <v>4501501</v>
      </c>
      <c r="X6" t="str">
        <f t="shared" si="0"/>
        <v>Retirement Chgs</v>
      </c>
    </row>
    <row r="7" spans="1:24" hidden="1">
      <c r="A7" s="101"/>
      <c r="B7" s="101">
        <v>20260402</v>
      </c>
      <c r="C7" s="101">
        <v>100000183</v>
      </c>
      <c r="D7" s="101" t="s">
        <v>521</v>
      </c>
      <c r="E7" s="101" t="s">
        <v>522</v>
      </c>
      <c r="F7" s="102">
        <v>46057</v>
      </c>
      <c r="G7" s="101">
        <v>40</v>
      </c>
      <c r="H7" s="103">
        <v>12964.66</v>
      </c>
      <c r="I7" s="101" t="s">
        <v>193</v>
      </c>
      <c r="J7" s="101"/>
      <c r="K7" s="101"/>
      <c r="L7" s="101" t="s">
        <v>241</v>
      </c>
      <c r="M7" s="101"/>
      <c r="N7" s="101">
        <v>1021</v>
      </c>
      <c r="O7" s="101"/>
      <c r="P7" s="101" t="s">
        <v>523</v>
      </c>
      <c r="Q7" s="101" t="s">
        <v>529</v>
      </c>
      <c r="R7" s="101"/>
      <c r="S7" s="101"/>
      <c r="T7" s="101"/>
      <c r="U7" s="101"/>
      <c r="V7" s="101" t="s">
        <v>40</v>
      </c>
      <c r="W7" s="101">
        <v>4501501</v>
      </c>
      <c r="X7" t="str">
        <f t="shared" si="0"/>
        <v>Retirement Chgs</v>
      </c>
    </row>
    <row r="8" spans="1:24" hidden="1">
      <c r="A8" s="101"/>
      <c r="B8" s="101">
        <v>20260402</v>
      </c>
      <c r="C8" s="101">
        <v>100000184</v>
      </c>
      <c r="D8" s="101" t="s">
        <v>521</v>
      </c>
      <c r="E8" s="101" t="s">
        <v>522</v>
      </c>
      <c r="F8" s="101" t="s">
        <v>530</v>
      </c>
      <c r="G8" s="101">
        <v>40</v>
      </c>
      <c r="H8" s="103">
        <v>15838.2</v>
      </c>
      <c r="I8" s="101" t="s">
        <v>193</v>
      </c>
      <c r="J8" s="101"/>
      <c r="K8" s="101"/>
      <c r="L8" s="101" t="s">
        <v>246</v>
      </c>
      <c r="M8" s="101"/>
      <c r="N8" s="101">
        <v>1021</v>
      </c>
      <c r="O8" s="101"/>
      <c r="P8" s="101" t="s">
        <v>523</v>
      </c>
      <c r="Q8" s="101" t="s">
        <v>531</v>
      </c>
      <c r="R8" s="101"/>
      <c r="S8" s="101"/>
      <c r="T8" s="101"/>
      <c r="U8" s="101"/>
      <c r="V8" s="101" t="s">
        <v>40</v>
      </c>
      <c r="W8" s="101">
        <v>4501501</v>
      </c>
      <c r="X8" t="str">
        <f t="shared" si="0"/>
        <v>Retirement Chgs</v>
      </c>
    </row>
    <row r="9" spans="1:24" hidden="1">
      <c r="A9" s="101"/>
      <c r="B9" s="101">
        <v>20260402</v>
      </c>
      <c r="C9" s="101">
        <v>100000204</v>
      </c>
      <c r="D9" s="101" t="s">
        <v>521</v>
      </c>
      <c r="E9" s="101" t="s">
        <v>522</v>
      </c>
      <c r="F9" s="102">
        <v>46057</v>
      </c>
      <c r="G9" s="101">
        <v>40</v>
      </c>
      <c r="H9" s="103">
        <v>12964.66</v>
      </c>
      <c r="I9" s="101" t="s">
        <v>193</v>
      </c>
      <c r="J9" s="101"/>
      <c r="K9" s="101"/>
      <c r="L9" s="101" t="s">
        <v>252</v>
      </c>
      <c r="M9" s="101"/>
      <c r="N9" s="101">
        <v>1021</v>
      </c>
      <c r="O9" s="101"/>
      <c r="P9" s="101" t="s">
        <v>523</v>
      </c>
      <c r="Q9" s="101" t="s">
        <v>532</v>
      </c>
      <c r="R9" s="101"/>
      <c r="S9" s="101"/>
      <c r="T9" s="101"/>
      <c r="U9" s="101"/>
      <c r="V9" s="101" t="s">
        <v>40</v>
      </c>
      <c r="W9" s="101">
        <v>4501501</v>
      </c>
      <c r="X9" t="str">
        <f t="shared" si="0"/>
        <v>Retirement Chgs</v>
      </c>
    </row>
    <row r="10" spans="1:24" hidden="1">
      <c r="A10" s="101"/>
      <c r="B10" s="101">
        <v>20260402</v>
      </c>
      <c r="C10" s="101">
        <v>100000495</v>
      </c>
      <c r="D10" s="101" t="s">
        <v>521</v>
      </c>
      <c r="E10" s="101" t="s">
        <v>522</v>
      </c>
      <c r="F10" s="102">
        <v>46057</v>
      </c>
      <c r="G10" s="101">
        <v>40</v>
      </c>
      <c r="H10" s="103">
        <v>9298.5</v>
      </c>
      <c r="I10" s="101" t="s">
        <v>193</v>
      </c>
      <c r="J10" s="101"/>
      <c r="K10" s="101"/>
      <c r="L10" s="101" t="s">
        <v>477</v>
      </c>
      <c r="M10" s="101"/>
      <c r="N10" s="101">
        <v>1021</v>
      </c>
      <c r="O10" s="101"/>
      <c r="P10" s="101" t="s">
        <v>523</v>
      </c>
      <c r="Q10" s="101" t="s">
        <v>533</v>
      </c>
      <c r="R10" s="101"/>
      <c r="S10" s="101"/>
      <c r="T10" s="101"/>
      <c r="U10" s="101"/>
      <c r="V10" s="101" t="s">
        <v>40</v>
      </c>
      <c r="W10" s="101">
        <v>4501501</v>
      </c>
      <c r="X10" t="str">
        <f t="shared" si="0"/>
        <v>Retirement Chgs</v>
      </c>
    </row>
    <row r="11" spans="1:24" hidden="1">
      <c r="A11" s="101"/>
      <c r="B11" s="101">
        <v>20260402</v>
      </c>
      <c r="C11" s="101">
        <v>1900000169</v>
      </c>
      <c r="D11" s="101" t="s">
        <v>534</v>
      </c>
      <c r="E11" s="101" t="s">
        <v>535</v>
      </c>
      <c r="F11" s="102">
        <v>46057</v>
      </c>
      <c r="G11" s="101">
        <v>40</v>
      </c>
      <c r="H11" s="103">
        <v>2000</v>
      </c>
      <c r="I11" s="101" t="s">
        <v>193</v>
      </c>
      <c r="J11" s="101">
        <v>1</v>
      </c>
      <c r="K11" s="101"/>
      <c r="L11" s="101" t="s">
        <v>235</v>
      </c>
      <c r="M11" s="101"/>
      <c r="N11" s="101">
        <v>3010</v>
      </c>
      <c r="O11" s="101"/>
      <c r="P11" s="101" t="s">
        <v>536</v>
      </c>
      <c r="Q11" s="101" t="s">
        <v>537</v>
      </c>
      <c r="R11" s="101"/>
      <c r="S11" s="101"/>
      <c r="T11" s="101"/>
      <c r="U11" s="101"/>
      <c r="V11" s="101" t="s">
        <v>40</v>
      </c>
      <c r="W11" s="101">
        <v>4501501</v>
      </c>
      <c r="X11" t="str">
        <f t="shared" si="0"/>
        <v>LC Chgs</v>
      </c>
    </row>
    <row r="12" spans="1:24" hidden="1">
      <c r="A12" s="101"/>
      <c r="B12" s="101">
        <v>20260402</v>
      </c>
      <c r="C12" s="101">
        <v>1900000504</v>
      </c>
      <c r="D12" s="101" t="s">
        <v>534</v>
      </c>
      <c r="E12" s="101" t="s">
        <v>535</v>
      </c>
      <c r="F12" s="102">
        <v>46057</v>
      </c>
      <c r="G12" s="101">
        <v>40</v>
      </c>
      <c r="H12" s="101">
        <v>49.5</v>
      </c>
      <c r="I12" s="101" t="s">
        <v>193</v>
      </c>
      <c r="J12" s="101">
        <v>13</v>
      </c>
      <c r="K12" s="101"/>
      <c r="L12" s="101" t="s">
        <v>538</v>
      </c>
      <c r="M12" s="101"/>
      <c r="N12" s="101">
        <v>3010</v>
      </c>
      <c r="O12" s="101"/>
      <c r="P12" s="101" t="s">
        <v>539</v>
      </c>
      <c r="Q12" s="101" t="s">
        <v>538</v>
      </c>
      <c r="R12" s="101"/>
      <c r="S12" s="101"/>
      <c r="T12" s="101"/>
      <c r="U12" s="101"/>
      <c r="V12" s="101" t="s">
        <v>40</v>
      </c>
      <c r="W12" s="101">
        <v>4501501</v>
      </c>
      <c r="X12" t="str">
        <f t="shared" si="0"/>
        <v>Others</v>
      </c>
    </row>
    <row r="13" spans="1:24" hidden="1">
      <c r="A13" s="101"/>
      <c r="B13" s="101">
        <v>20260402</v>
      </c>
      <c r="C13" s="101">
        <v>1900000505</v>
      </c>
      <c r="D13" s="101" t="s">
        <v>534</v>
      </c>
      <c r="E13" s="101" t="s">
        <v>535</v>
      </c>
      <c r="F13" s="102">
        <v>46057</v>
      </c>
      <c r="G13" s="101">
        <v>40</v>
      </c>
      <c r="H13" s="101">
        <v>49.5</v>
      </c>
      <c r="I13" s="101" t="s">
        <v>193</v>
      </c>
      <c r="J13" s="101">
        <v>13</v>
      </c>
      <c r="K13" s="101"/>
      <c r="L13" s="101" t="s">
        <v>538</v>
      </c>
      <c r="M13" s="101"/>
      <c r="N13" s="101">
        <v>3010</v>
      </c>
      <c r="O13" s="101"/>
      <c r="P13" s="101" t="s">
        <v>539</v>
      </c>
      <c r="Q13" s="101" t="s">
        <v>538</v>
      </c>
      <c r="R13" s="101"/>
      <c r="S13" s="101"/>
      <c r="T13" s="101"/>
      <c r="U13" s="101"/>
      <c r="V13" s="101" t="s">
        <v>40</v>
      </c>
      <c r="W13" s="101">
        <v>4501501</v>
      </c>
      <c r="X13" t="str">
        <f t="shared" si="0"/>
        <v>Others</v>
      </c>
    </row>
    <row r="14" spans="1:24" hidden="1">
      <c r="A14" s="101"/>
      <c r="B14" s="101">
        <v>20260402</v>
      </c>
      <c r="C14" s="101">
        <v>1900000506</v>
      </c>
      <c r="D14" s="101" t="s">
        <v>534</v>
      </c>
      <c r="E14" s="101" t="s">
        <v>535</v>
      </c>
      <c r="F14" s="102">
        <v>46057</v>
      </c>
      <c r="G14" s="101">
        <v>40</v>
      </c>
      <c r="H14" s="101">
        <v>24.75</v>
      </c>
      <c r="I14" s="101" t="s">
        <v>193</v>
      </c>
      <c r="J14" s="101">
        <v>1</v>
      </c>
      <c r="K14" s="101"/>
      <c r="L14" s="101" t="s">
        <v>540</v>
      </c>
      <c r="M14" s="101"/>
      <c r="N14" s="101">
        <v>3010</v>
      </c>
      <c r="O14" s="101"/>
      <c r="P14" s="101" t="s">
        <v>539</v>
      </c>
      <c r="Q14" s="101" t="s">
        <v>541</v>
      </c>
      <c r="R14" s="101"/>
      <c r="S14" s="101"/>
      <c r="T14" s="101"/>
      <c r="U14" s="101"/>
      <c r="V14" s="101" t="s">
        <v>40</v>
      </c>
      <c r="W14" s="101">
        <v>4501501</v>
      </c>
      <c r="X14" t="str">
        <f t="shared" si="0"/>
        <v>Others</v>
      </c>
    </row>
    <row r="15" spans="1:24" hidden="1">
      <c r="A15" s="101"/>
      <c r="B15" s="101">
        <v>20260402</v>
      </c>
      <c r="C15" s="101">
        <v>1900000537</v>
      </c>
      <c r="D15" s="101" t="s">
        <v>534</v>
      </c>
      <c r="E15" s="101" t="s">
        <v>535</v>
      </c>
      <c r="F15" s="102">
        <v>46057</v>
      </c>
      <c r="G15" s="101">
        <v>40</v>
      </c>
      <c r="H15" s="101">
        <v>550</v>
      </c>
      <c r="I15" s="101" t="s">
        <v>193</v>
      </c>
      <c r="J15" s="101">
        <v>1</v>
      </c>
      <c r="K15" s="101"/>
      <c r="L15" s="101" t="s">
        <v>477</v>
      </c>
      <c r="M15" s="101"/>
      <c r="N15" s="101">
        <v>3010</v>
      </c>
      <c r="O15" s="101"/>
      <c r="P15" s="101" t="s">
        <v>523</v>
      </c>
      <c r="Q15" s="101" t="s">
        <v>542</v>
      </c>
      <c r="R15" s="101"/>
      <c r="S15" s="101"/>
      <c r="T15" s="101"/>
      <c r="U15" s="101"/>
      <c r="V15" s="101" t="s">
        <v>40</v>
      </c>
      <c r="W15" s="101">
        <v>4501501</v>
      </c>
      <c r="X15" t="str">
        <f t="shared" si="0"/>
        <v>Retirement Chgs</v>
      </c>
    </row>
    <row r="16" spans="1:24" hidden="1">
      <c r="A16" s="101"/>
      <c r="B16" s="101">
        <v>20260402</v>
      </c>
      <c r="C16" s="101">
        <v>1900000699</v>
      </c>
      <c r="D16" s="101" t="s">
        <v>534</v>
      </c>
      <c r="E16" s="101" t="s">
        <v>535</v>
      </c>
      <c r="F16" s="102">
        <v>46057</v>
      </c>
      <c r="G16" s="101">
        <v>40</v>
      </c>
      <c r="H16" s="101">
        <v>150</v>
      </c>
      <c r="I16" s="101" t="s">
        <v>193</v>
      </c>
      <c r="J16" s="101">
        <v>1</v>
      </c>
      <c r="K16" s="101"/>
      <c r="L16" s="101" t="s">
        <v>543</v>
      </c>
      <c r="M16" s="101"/>
      <c r="N16" s="101">
        <v>3010</v>
      </c>
      <c r="O16" s="101"/>
      <c r="P16" s="101" t="s">
        <v>539</v>
      </c>
      <c r="Q16" s="101" t="s">
        <v>544</v>
      </c>
      <c r="R16" s="101"/>
      <c r="S16" s="101"/>
      <c r="T16" s="101"/>
      <c r="U16" s="101"/>
      <c r="V16" s="101" t="s">
        <v>40</v>
      </c>
      <c r="W16" s="101">
        <v>4501501</v>
      </c>
      <c r="X16" t="str">
        <f t="shared" si="0"/>
        <v>Others</v>
      </c>
    </row>
    <row r="17" spans="1:24" hidden="1">
      <c r="A17" s="101"/>
      <c r="B17" s="101">
        <v>20260403</v>
      </c>
      <c r="C17" s="101">
        <v>1900000461</v>
      </c>
      <c r="D17" s="101" t="s">
        <v>521</v>
      </c>
      <c r="E17" s="101" t="s">
        <v>535</v>
      </c>
      <c r="F17" s="102">
        <v>46085</v>
      </c>
      <c r="G17" s="101">
        <v>40</v>
      </c>
      <c r="H17" s="101">
        <v>443.04</v>
      </c>
      <c r="I17" s="101" t="s">
        <v>193</v>
      </c>
      <c r="J17" s="101">
        <v>13</v>
      </c>
      <c r="K17" s="101"/>
      <c r="L17" s="101" t="s">
        <v>545</v>
      </c>
      <c r="M17" s="101"/>
      <c r="N17" s="101">
        <v>1021</v>
      </c>
      <c r="O17" s="101"/>
      <c r="P17" s="101" t="s">
        <v>539</v>
      </c>
      <c r="Q17" s="101" t="s">
        <v>546</v>
      </c>
      <c r="R17" s="101"/>
      <c r="S17" s="101"/>
      <c r="T17" s="101"/>
      <c r="U17" s="101"/>
      <c r="V17" s="101" t="s">
        <v>40</v>
      </c>
      <c r="W17" s="101">
        <v>4501501</v>
      </c>
      <c r="X17" t="str">
        <f t="shared" si="0"/>
        <v>Others</v>
      </c>
    </row>
    <row r="18" spans="1:24" hidden="1">
      <c r="A18" s="101"/>
      <c r="B18" s="101">
        <v>20260403</v>
      </c>
      <c r="C18" s="101">
        <v>1900000462</v>
      </c>
      <c r="D18" s="101" t="s">
        <v>521</v>
      </c>
      <c r="E18" s="101" t="s">
        <v>535</v>
      </c>
      <c r="F18" s="102">
        <v>46085</v>
      </c>
      <c r="G18" s="101">
        <v>40</v>
      </c>
      <c r="H18" s="101">
        <v>90.61</v>
      </c>
      <c r="I18" s="101" t="s">
        <v>193</v>
      </c>
      <c r="J18" s="101">
        <v>13</v>
      </c>
      <c r="K18" s="101"/>
      <c r="L18" s="101" t="s">
        <v>547</v>
      </c>
      <c r="M18" s="101"/>
      <c r="N18" s="101">
        <v>1021</v>
      </c>
      <c r="O18" s="101"/>
      <c r="P18" s="101" t="s">
        <v>539</v>
      </c>
      <c r="Q18" s="101" t="s">
        <v>548</v>
      </c>
      <c r="R18" s="101"/>
      <c r="S18" s="101"/>
      <c r="T18" s="101"/>
      <c r="U18" s="101"/>
      <c r="V18" s="101" t="s">
        <v>40</v>
      </c>
      <c r="W18" s="101">
        <v>4501501</v>
      </c>
      <c r="X18" t="str">
        <f t="shared" si="0"/>
        <v>Others</v>
      </c>
    </row>
    <row r="19" spans="1:24" hidden="1">
      <c r="A19" s="101"/>
      <c r="B19" s="101">
        <v>20260403</v>
      </c>
      <c r="C19" s="101">
        <v>1900000464</v>
      </c>
      <c r="D19" s="101" t="s">
        <v>521</v>
      </c>
      <c r="E19" s="101" t="s">
        <v>535</v>
      </c>
      <c r="F19" s="102">
        <v>46085</v>
      </c>
      <c r="G19" s="101">
        <v>40</v>
      </c>
      <c r="H19" s="101">
        <v>209.19</v>
      </c>
      <c r="I19" s="101" t="s">
        <v>193</v>
      </c>
      <c r="J19" s="101">
        <v>13</v>
      </c>
      <c r="K19" s="101"/>
      <c r="L19" s="101" t="s">
        <v>549</v>
      </c>
      <c r="M19" s="101"/>
      <c r="N19" s="101">
        <v>1021</v>
      </c>
      <c r="O19" s="101"/>
      <c r="P19" s="101" t="s">
        <v>539</v>
      </c>
      <c r="Q19" s="101" t="s">
        <v>550</v>
      </c>
      <c r="R19" s="101"/>
      <c r="S19" s="101"/>
      <c r="T19" s="101"/>
      <c r="U19" s="101"/>
      <c r="V19" s="101" t="s">
        <v>40</v>
      </c>
      <c r="W19" s="101">
        <v>4501501</v>
      </c>
      <c r="X19" t="str">
        <f t="shared" si="0"/>
        <v>Others</v>
      </c>
    </row>
    <row r="20" spans="1:24" hidden="1">
      <c r="A20" s="101"/>
      <c r="B20" s="101">
        <v>20260403</v>
      </c>
      <c r="C20" s="101">
        <v>1900000465</v>
      </c>
      <c r="D20" s="101" t="s">
        <v>521</v>
      </c>
      <c r="E20" s="101" t="s">
        <v>535</v>
      </c>
      <c r="F20" s="102">
        <v>46085</v>
      </c>
      <c r="G20" s="101">
        <v>40</v>
      </c>
      <c r="H20" s="101">
        <v>270.16000000000003</v>
      </c>
      <c r="I20" s="101" t="s">
        <v>193</v>
      </c>
      <c r="J20" s="101">
        <v>13</v>
      </c>
      <c r="K20" s="101"/>
      <c r="L20" s="101" t="s">
        <v>551</v>
      </c>
      <c r="M20" s="101"/>
      <c r="N20" s="101">
        <v>1021</v>
      </c>
      <c r="O20" s="101"/>
      <c r="P20" s="101" t="s">
        <v>539</v>
      </c>
      <c r="Q20" s="101" t="s">
        <v>552</v>
      </c>
      <c r="R20" s="101"/>
      <c r="S20" s="101"/>
      <c r="T20" s="101"/>
      <c r="U20" s="101"/>
      <c r="V20" s="101" t="s">
        <v>40</v>
      </c>
      <c r="W20" s="101">
        <v>4501501</v>
      </c>
      <c r="X20" t="str">
        <f t="shared" si="0"/>
        <v>Others</v>
      </c>
    </row>
    <row r="21" spans="1:24" hidden="1">
      <c r="A21" s="101"/>
      <c r="B21" s="101">
        <v>20260403</v>
      </c>
      <c r="C21" s="101">
        <v>1900000467</v>
      </c>
      <c r="D21" s="101" t="s">
        <v>521</v>
      </c>
      <c r="E21" s="101" t="s">
        <v>535</v>
      </c>
      <c r="F21" s="102">
        <v>46085</v>
      </c>
      <c r="G21" s="101">
        <v>40</v>
      </c>
      <c r="H21" s="101">
        <v>142.46</v>
      </c>
      <c r="I21" s="101" t="s">
        <v>193</v>
      </c>
      <c r="J21" s="101">
        <v>13</v>
      </c>
      <c r="K21" s="101"/>
      <c r="L21" s="101" t="s">
        <v>553</v>
      </c>
      <c r="M21" s="101"/>
      <c r="N21" s="101">
        <v>1021</v>
      </c>
      <c r="O21" s="101"/>
      <c r="P21" s="101" t="s">
        <v>539</v>
      </c>
      <c r="Q21" s="101" t="s">
        <v>554</v>
      </c>
      <c r="R21" s="101"/>
      <c r="S21" s="101"/>
      <c r="T21" s="101"/>
      <c r="U21" s="101"/>
      <c r="V21" s="101" t="s">
        <v>40</v>
      </c>
      <c r="W21" s="101">
        <v>4501501</v>
      </c>
      <c r="X21" t="str">
        <f t="shared" si="0"/>
        <v>Others</v>
      </c>
    </row>
    <row r="22" spans="1:24" hidden="1">
      <c r="A22" s="101"/>
      <c r="B22" s="101">
        <v>20260403</v>
      </c>
      <c r="C22" s="101">
        <v>1900000468</v>
      </c>
      <c r="D22" s="101" t="s">
        <v>521</v>
      </c>
      <c r="E22" s="101" t="s">
        <v>535</v>
      </c>
      <c r="F22" s="102">
        <v>46085</v>
      </c>
      <c r="G22" s="101">
        <v>40</v>
      </c>
      <c r="H22" s="101">
        <v>171.19</v>
      </c>
      <c r="I22" s="101" t="s">
        <v>193</v>
      </c>
      <c r="J22" s="101">
        <v>13</v>
      </c>
      <c r="K22" s="101"/>
      <c r="L22" s="101" t="s">
        <v>555</v>
      </c>
      <c r="M22" s="101"/>
      <c r="N22" s="101">
        <v>1021</v>
      </c>
      <c r="O22" s="101"/>
      <c r="P22" s="101" t="s">
        <v>539</v>
      </c>
      <c r="Q22" s="101" t="s">
        <v>556</v>
      </c>
      <c r="R22" s="101"/>
      <c r="S22" s="101"/>
      <c r="T22" s="101"/>
      <c r="U22" s="101"/>
      <c r="V22" s="101" t="s">
        <v>40</v>
      </c>
      <c r="W22" s="101">
        <v>4501501</v>
      </c>
      <c r="X22" t="str">
        <f t="shared" si="0"/>
        <v>Others</v>
      </c>
    </row>
    <row r="23" spans="1:24" hidden="1">
      <c r="A23" s="101"/>
      <c r="B23" s="101">
        <v>20260404</v>
      </c>
      <c r="C23" s="101">
        <v>1900000507</v>
      </c>
      <c r="D23" s="101" t="s">
        <v>534</v>
      </c>
      <c r="E23" s="101" t="s">
        <v>535</v>
      </c>
      <c r="F23" s="102">
        <v>46116</v>
      </c>
      <c r="G23" s="101">
        <v>40</v>
      </c>
      <c r="H23" s="101">
        <v>49.5</v>
      </c>
      <c r="I23" s="101" t="s">
        <v>193</v>
      </c>
      <c r="J23" s="101">
        <v>13</v>
      </c>
      <c r="K23" s="101"/>
      <c r="L23" s="101" t="s">
        <v>538</v>
      </c>
      <c r="M23" s="101"/>
      <c r="N23" s="101">
        <v>3010</v>
      </c>
      <c r="O23" s="101"/>
      <c r="P23" s="101" t="s">
        <v>539</v>
      </c>
      <c r="Q23" s="101" t="s">
        <v>538</v>
      </c>
      <c r="R23" s="101"/>
      <c r="S23" s="101"/>
      <c r="T23" s="101"/>
      <c r="U23" s="101"/>
      <c r="V23" s="101" t="s">
        <v>40</v>
      </c>
      <c r="W23" s="101">
        <v>4501501</v>
      </c>
      <c r="X23" t="str">
        <f t="shared" si="0"/>
        <v>Others</v>
      </c>
    </row>
    <row r="24" spans="1:24" hidden="1">
      <c r="A24" s="101"/>
      <c r="B24" s="101">
        <v>20260404</v>
      </c>
      <c r="C24" s="101">
        <v>1900000508</v>
      </c>
      <c r="D24" s="101" t="s">
        <v>534</v>
      </c>
      <c r="E24" s="101" t="s">
        <v>535</v>
      </c>
      <c r="F24" s="102">
        <v>46116</v>
      </c>
      <c r="G24" s="101">
        <v>40</v>
      </c>
      <c r="H24" s="101">
        <v>49.5</v>
      </c>
      <c r="I24" s="101" t="s">
        <v>193</v>
      </c>
      <c r="J24" s="101">
        <v>13</v>
      </c>
      <c r="K24" s="101"/>
      <c r="L24" s="101" t="s">
        <v>538</v>
      </c>
      <c r="M24" s="101"/>
      <c r="N24" s="101">
        <v>3010</v>
      </c>
      <c r="O24" s="101"/>
      <c r="P24" s="101" t="s">
        <v>539</v>
      </c>
      <c r="Q24" s="101" t="s">
        <v>538</v>
      </c>
      <c r="R24" s="101"/>
      <c r="S24" s="101"/>
      <c r="T24" s="101"/>
      <c r="U24" s="101"/>
      <c r="V24" s="101" t="s">
        <v>40</v>
      </c>
      <c r="W24" s="101">
        <v>4501501</v>
      </c>
      <c r="X24" t="str">
        <f t="shared" si="0"/>
        <v>Others</v>
      </c>
    </row>
    <row r="25" spans="1:24" hidden="1">
      <c r="A25" s="101"/>
      <c r="B25" s="101">
        <v>20260405</v>
      </c>
      <c r="C25" s="101">
        <v>1900000469</v>
      </c>
      <c r="D25" s="101" t="s">
        <v>521</v>
      </c>
      <c r="E25" s="101" t="s">
        <v>535</v>
      </c>
      <c r="F25" s="102">
        <v>46146</v>
      </c>
      <c r="G25" s="101">
        <v>40</v>
      </c>
      <c r="H25" s="101">
        <v>318.60000000000002</v>
      </c>
      <c r="I25" s="101" t="s">
        <v>193</v>
      </c>
      <c r="J25" s="101">
        <v>13</v>
      </c>
      <c r="K25" s="101"/>
      <c r="L25" s="101" t="s">
        <v>557</v>
      </c>
      <c r="M25" s="101"/>
      <c r="N25" s="101">
        <v>1021</v>
      </c>
      <c r="O25" s="101"/>
      <c r="P25" s="101" t="s">
        <v>539</v>
      </c>
      <c r="Q25" s="101" t="s">
        <v>558</v>
      </c>
      <c r="R25" s="101"/>
      <c r="S25" s="101"/>
      <c r="T25" s="101"/>
      <c r="U25" s="101"/>
      <c r="V25" s="101" t="s">
        <v>40</v>
      </c>
      <c r="W25" s="101">
        <v>4501501</v>
      </c>
      <c r="X25" t="str">
        <f t="shared" si="0"/>
        <v>Others</v>
      </c>
    </row>
    <row r="26" spans="1:24" hidden="1">
      <c r="A26" s="101"/>
      <c r="B26" s="101">
        <v>20260405</v>
      </c>
      <c r="C26" s="101">
        <v>1900000470</v>
      </c>
      <c r="D26" s="101" t="s">
        <v>521</v>
      </c>
      <c r="E26" s="101" t="s">
        <v>535</v>
      </c>
      <c r="F26" s="102">
        <v>46146</v>
      </c>
      <c r="G26" s="101">
        <v>40</v>
      </c>
      <c r="H26" s="101">
        <v>104.64</v>
      </c>
      <c r="I26" s="101" t="s">
        <v>193</v>
      </c>
      <c r="J26" s="101">
        <v>13</v>
      </c>
      <c r="K26" s="101"/>
      <c r="L26" s="101" t="s">
        <v>559</v>
      </c>
      <c r="M26" s="101"/>
      <c r="N26" s="101">
        <v>1021</v>
      </c>
      <c r="O26" s="101"/>
      <c r="P26" s="101" t="s">
        <v>539</v>
      </c>
      <c r="Q26" s="101" t="s">
        <v>560</v>
      </c>
      <c r="R26" s="101"/>
      <c r="S26" s="101"/>
      <c r="T26" s="101"/>
      <c r="U26" s="101"/>
      <c r="V26" s="101" t="s">
        <v>40</v>
      </c>
      <c r="W26" s="101">
        <v>4501501</v>
      </c>
      <c r="X26" t="str">
        <f t="shared" si="0"/>
        <v>Others</v>
      </c>
    </row>
    <row r="27" spans="1:24" hidden="1">
      <c r="A27" s="101"/>
      <c r="B27" s="101">
        <v>20260406</v>
      </c>
      <c r="C27" s="101">
        <v>1700000054</v>
      </c>
      <c r="D27" s="101" t="s">
        <v>534</v>
      </c>
      <c r="E27" s="101" t="s">
        <v>561</v>
      </c>
      <c r="F27" s="102">
        <v>46177</v>
      </c>
      <c r="G27" s="101">
        <v>50</v>
      </c>
      <c r="H27" s="101">
        <v>-211.87</v>
      </c>
      <c r="I27" s="101" t="s">
        <v>193</v>
      </c>
      <c r="J27" s="101">
        <v>13</v>
      </c>
      <c r="K27" s="101"/>
      <c r="L27" s="101">
        <v>24611381</v>
      </c>
      <c r="M27" s="101"/>
      <c r="N27" s="101">
        <v>3010</v>
      </c>
      <c r="O27" s="101"/>
      <c r="P27" s="101" t="s">
        <v>539</v>
      </c>
      <c r="Q27" s="101" t="s">
        <v>562</v>
      </c>
      <c r="R27" s="101"/>
      <c r="S27" s="101"/>
      <c r="T27" s="101"/>
      <c r="U27" s="101"/>
      <c r="V27" s="101" t="s">
        <v>40</v>
      </c>
      <c r="W27" s="101">
        <v>4501501</v>
      </c>
      <c r="X27" t="str">
        <f t="shared" si="0"/>
        <v>Others</v>
      </c>
    </row>
    <row r="28" spans="1:24" hidden="1">
      <c r="A28" s="101"/>
      <c r="B28" s="101">
        <v>20260406</v>
      </c>
      <c r="C28" s="101">
        <v>1700000054</v>
      </c>
      <c r="D28" s="101" t="s">
        <v>534</v>
      </c>
      <c r="E28" s="101" t="s">
        <v>561</v>
      </c>
      <c r="F28" s="102">
        <v>46177</v>
      </c>
      <c r="G28" s="101">
        <v>50</v>
      </c>
      <c r="H28" s="101">
        <v>-134</v>
      </c>
      <c r="I28" s="101" t="s">
        <v>193</v>
      </c>
      <c r="J28" s="101"/>
      <c r="K28" s="101"/>
      <c r="L28" s="101">
        <v>24611381</v>
      </c>
      <c r="M28" s="101"/>
      <c r="N28" s="101">
        <v>3010</v>
      </c>
      <c r="O28" s="101"/>
      <c r="P28" s="101" t="s">
        <v>539</v>
      </c>
      <c r="Q28" s="101" t="s">
        <v>563</v>
      </c>
      <c r="R28" s="101"/>
      <c r="S28" s="101"/>
      <c r="T28" s="101"/>
      <c r="U28" s="101"/>
      <c r="V28" s="101" t="s">
        <v>40</v>
      </c>
      <c r="W28" s="101">
        <v>4501501</v>
      </c>
      <c r="X28" t="str">
        <f t="shared" si="0"/>
        <v>Others</v>
      </c>
    </row>
    <row r="29" spans="1:24" hidden="1">
      <c r="A29" s="101"/>
      <c r="B29" s="101">
        <v>20260406</v>
      </c>
      <c r="C29" s="101">
        <v>1700000055</v>
      </c>
      <c r="D29" s="101" t="s">
        <v>534</v>
      </c>
      <c r="E29" s="101" t="s">
        <v>561</v>
      </c>
      <c r="F29" s="102">
        <v>46177</v>
      </c>
      <c r="G29" s="101">
        <v>50</v>
      </c>
      <c r="H29" s="101">
        <v>-211.87</v>
      </c>
      <c r="I29" s="101" t="s">
        <v>193</v>
      </c>
      <c r="J29" s="101">
        <v>13</v>
      </c>
      <c r="K29" s="101"/>
      <c r="L29" s="101">
        <v>24611382</v>
      </c>
      <c r="M29" s="101"/>
      <c r="N29" s="101">
        <v>3010</v>
      </c>
      <c r="O29" s="101"/>
      <c r="P29" s="101" t="s">
        <v>539</v>
      </c>
      <c r="Q29" s="101" t="s">
        <v>564</v>
      </c>
      <c r="R29" s="101"/>
      <c r="S29" s="101"/>
      <c r="T29" s="101"/>
      <c r="U29" s="101"/>
      <c r="V29" s="101" t="s">
        <v>40</v>
      </c>
      <c r="W29" s="101">
        <v>4501501</v>
      </c>
      <c r="X29" t="str">
        <f t="shared" si="0"/>
        <v>Others</v>
      </c>
    </row>
    <row r="30" spans="1:24" hidden="1">
      <c r="A30" s="101"/>
      <c r="B30" s="101">
        <v>20260406</v>
      </c>
      <c r="C30" s="101">
        <v>1700000055</v>
      </c>
      <c r="D30" s="101" t="s">
        <v>534</v>
      </c>
      <c r="E30" s="101" t="s">
        <v>561</v>
      </c>
      <c r="F30" s="102">
        <v>46177</v>
      </c>
      <c r="G30" s="101">
        <v>50</v>
      </c>
      <c r="H30" s="101">
        <v>-153</v>
      </c>
      <c r="I30" s="101" t="s">
        <v>193</v>
      </c>
      <c r="J30" s="101"/>
      <c r="K30" s="101"/>
      <c r="L30" s="101">
        <v>24611382</v>
      </c>
      <c r="M30" s="101"/>
      <c r="N30" s="101">
        <v>3010</v>
      </c>
      <c r="O30" s="101"/>
      <c r="P30" s="101" t="s">
        <v>539</v>
      </c>
      <c r="Q30" s="101" t="s">
        <v>565</v>
      </c>
      <c r="R30" s="101"/>
      <c r="S30" s="101"/>
      <c r="T30" s="101"/>
      <c r="U30" s="101"/>
      <c r="V30" s="101" t="s">
        <v>40</v>
      </c>
      <c r="W30" s="101">
        <v>4501501</v>
      </c>
      <c r="X30" t="str">
        <f t="shared" si="0"/>
        <v>Others</v>
      </c>
    </row>
    <row r="31" spans="1:24" hidden="1">
      <c r="A31" s="101"/>
      <c r="B31" s="101">
        <v>20260406</v>
      </c>
      <c r="C31" s="101">
        <v>1700000064</v>
      </c>
      <c r="D31" s="101" t="s">
        <v>534</v>
      </c>
      <c r="E31" s="101" t="s">
        <v>561</v>
      </c>
      <c r="F31" s="102">
        <v>46177</v>
      </c>
      <c r="G31" s="101">
        <v>50</v>
      </c>
      <c r="H31" s="101">
        <v>-24.75</v>
      </c>
      <c r="I31" s="101" t="s">
        <v>193</v>
      </c>
      <c r="J31" s="101">
        <v>1</v>
      </c>
      <c r="K31" s="101"/>
      <c r="L31" s="101" t="s">
        <v>541</v>
      </c>
      <c r="M31" s="101"/>
      <c r="N31" s="101">
        <v>3010</v>
      </c>
      <c r="O31" s="101"/>
      <c r="P31" s="101" t="s">
        <v>539</v>
      </c>
      <c r="Q31" s="101" t="s">
        <v>541</v>
      </c>
      <c r="R31" s="101"/>
      <c r="S31" s="101"/>
      <c r="T31" s="101"/>
      <c r="U31" s="101"/>
      <c r="V31" s="101" t="s">
        <v>40</v>
      </c>
      <c r="W31" s="101">
        <v>4501501</v>
      </c>
      <c r="X31" t="str">
        <f t="shared" si="0"/>
        <v>Others</v>
      </c>
    </row>
    <row r="32" spans="1:24" hidden="1">
      <c r="A32" s="101"/>
      <c r="B32" s="101">
        <v>20260406</v>
      </c>
      <c r="C32" s="101">
        <v>1700000071</v>
      </c>
      <c r="D32" s="101" t="s">
        <v>534</v>
      </c>
      <c r="E32" s="101" t="s">
        <v>561</v>
      </c>
      <c r="F32" s="102">
        <v>46177</v>
      </c>
      <c r="G32" s="101">
        <v>50</v>
      </c>
      <c r="H32" s="103">
        <v>-5900</v>
      </c>
      <c r="I32" s="101" t="s">
        <v>193</v>
      </c>
      <c r="J32" s="101"/>
      <c r="K32" s="101"/>
      <c r="L32" s="101" t="s">
        <v>566</v>
      </c>
      <c r="M32" s="101"/>
      <c r="N32" s="101">
        <v>3010</v>
      </c>
      <c r="O32" s="101"/>
      <c r="P32" s="101" t="s">
        <v>539</v>
      </c>
      <c r="Q32" s="101" t="s">
        <v>567</v>
      </c>
      <c r="R32" s="101"/>
      <c r="S32" s="101"/>
      <c r="T32" s="101"/>
      <c r="U32" s="101"/>
      <c r="V32" s="101" t="s">
        <v>40</v>
      </c>
      <c r="W32" s="101">
        <v>4501501</v>
      </c>
      <c r="X32" t="str">
        <f t="shared" si="0"/>
        <v>Others</v>
      </c>
    </row>
    <row r="33" spans="1:24" hidden="1">
      <c r="A33" s="101"/>
      <c r="B33" s="101">
        <v>20260406</v>
      </c>
      <c r="C33" s="101">
        <v>1900000137</v>
      </c>
      <c r="D33" s="101" t="s">
        <v>534</v>
      </c>
      <c r="E33" s="101" t="s">
        <v>535</v>
      </c>
      <c r="F33" s="102">
        <v>46177</v>
      </c>
      <c r="G33" s="101">
        <v>40</v>
      </c>
      <c r="H33" s="101">
        <v>211.87</v>
      </c>
      <c r="I33" s="101" t="s">
        <v>193</v>
      </c>
      <c r="J33" s="101">
        <v>13</v>
      </c>
      <c r="K33" s="101"/>
      <c r="L33" s="101">
        <v>24611381</v>
      </c>
      <c r="M33" s="101"/>
      <c r="N33" s="101">
        <v>3010</v>
      </c>
      <c r="O33" s="101"/>
      <c r="P33" s="101" t="s">
        <v>539</v>
      </c>
      <c r="Q33" s="101" t="s">
        <v>562</v>
      </c>
      <c r="R33" s="101"/>
      <c r="S33" s="101"/>
      <c r="T33" s="101"/>
      <c r="U33" s="101"/>
      <c r="V33" s="101" t="s">
        <v>40</v>
      </c>
      <c r="W33" s="101">
        <v>4501501</v>
      </c>
      <c r="X33" t="str">
        <f t="shared" si="0"/>
        <v>Others</v>
      </c>
    </row>
    <row r="34" spans="1:24" hidden="1">
      <c r="A34" s="101"/>
      <c r="B34" s="101">
        <v>20260406</v>
      </c>
      <c r="C34" s="101">
        <v>1900000137</v>
      </c>
      <c r="D34" s="101" t="s">
        <v>534</v>
      </c>
      <c r="E34" s="101" t="s">
        <v>535</v>
      </c>
      <c r="F34" s="102">
        <v>46177</v>
      </c>
      <c r="G34" s="101">
        <v>40</v>
      </c>
      <c r="H34" s="101">
        <v>134</v>
      </c>
      <c r="I34" s="101" t="s">
        <v>193</v>
      </c>
      <c r="J34" s="101"/>
      <c r="K34" s="101"/>
      <c r="L34" s="101">
        <v>24611381</v>
      </c>
      <c r="M34" s="101"/>
      <c r="N34" s="101">
        <v>3010</v>
      </c>
      <c r="O34" s="101"/>
      <c r="P34" s="101" t="s">
        <v>539</v>
      </c>
      <c r="Q34" s="101" t="s">
        <v>563</v>
      </c>
      <c r="R34" s="101"/>
      <c r="S34" s="101"/>
      <c r="T34" s="101"/>
      <c r="U34" s="101"/>
      <c r="V34" s="101" t="s">
        <v>40</v>
      </c>
      <c r="W34" s="101">
        <v>4501501</v>
      </c>
      <c r="X34" t="str">
        <f t="shared" si="0"/>
        <v>Others</v>
      </c>
    </row>
    <row r="35" spans="1:24" hidden="1">
      <c r="A35" s="101"/>
      <c r="B35" s="101">
        <v>20260406</v>
      </c>
      <c r="C35" s="101">
        <v>1900000138</v>
      </c>
      <c r="D35" s="101" t="s">
        <v>534</v>
      </c>
      <c r="E35" s="101" t="s">
        <v>535</v>
      </c>
      <c r="F35" s="102">
        <v>46177</v>
      </c>
      <c r="G35" s="101">
        <v>40</v>
      </c>
      <c r="H35" s="101">
        <v>211.87</v>
      </c>
      <c r="I35" s="101" t="s">
        <v>193</v>
      </c>
      <c r="J35" s="101">
        <v>13</v>
      </c>
      <c r="K35" s="101"/>
      <c r="L35" s="101">
        <v>24611382</v>
      </c>
      <c r="M35" s="101"/>
      <c r="N35" s="101">
        <v>3010</v>
      </c>
      <c r="O35" s="101"/>
      <c r="P35" s="101" t="s">
        <v>539</v>
      </c>
      <c r="Q35" s="101" t="s">
        <v>564</v>
      </c>
      <c r="R35" s="101"/>
      <c r="S35" s="101"/>
      <c r="T35" s="101"/>
      <c r="U35" s="101"/>
      <c r="V35" s="101" t="s">
        <v>40</v>
      </c>
      <c r="W35" s="101">
        <v>4501501</v>
      </c>
      <c r="X35" t="str">
        <f t="shared" si="0"/>
        <v>Others</v>
      </c>
    </row>
    <row r="36" spans="1:24" hidden="1">
      <c r="A36" s="101"/>
      <c r="B36" s="101">
        <v>20260406</v>
      </c>
      <c r="C36" s="101">
        <v>1900000138</v>
      </c>
      <c r="D36" s="101" t="s">
        <v>534</v>
      </c>
      <c r="E36" s="101" t="s">
        <v>535</v>
      </c>
      <c r="F36" s="102">
        <v>46177</v>
      </c>
      <c r="G36" s="101">
        <v>40</v>
      </c>
      <c r="H36" s="101">
        <v>153</v>
      </c>
      <c r="I36" s="101" t="s">
        <v>193</v>
      </c>
      <c r="J36" s="101"/>
      <c r="K36" s="101"/>
      <c r="L36" s="101">
        <v>24611382</v>
      </c>
      <c r="M36" s="101"/>
      <c r="N36" s="101">
        <v>3010</v>
      </c>
      <c r="O36" s="101"/>
      <c r="P36" s="101" t="s">
        <v>539</v>
      </c>
      <c r="Q36" s="101" t="s">
        <v>565</v>
      </c>
      <c r="R36" s="101"/>
      <c r="S36" s="101"/>
      <c r="T36" s="101"/>
      <c r="U36" s="101"/>
      <c r="V36" s="101" t="s">
        <v>40</v>
      </c>
      <c r="W36" s="101">
        <v>4501501</v>
      </c>
      <c r="X36" t="str">
        <f t="shared" si="0"/>
        <v>Others</v>
      </c>
    </row>
    <row r="37" spans="1:24" hidden="1">
      <c r="A37" s="101"/>
      <c r="B37" s="101">
        <v>20260406</v>
      </c>
      <c r="C37" s="101">
        <v>1900000386</v>
      </c>
      <c r="D37" s="101" t="s">
        <v>534</v>
      </c>
      <c r="E37" s="101" t="s">
        <v>535</v>
      </c>
      <c r="F37" s="102">
        <v>46177</v>
      </c>
      <c r="G37" s="101">
        <v>40</v>
      </c>
      <c r="H37" s="103">
        <v>2000</v>
      </c>
      <c r="I37" s="101" t="s">
        <v>193</v>
      </c>
      <c r="J37" s="101">
        <v>1</v>
      </c>
      <c r="K37" s="101"/>
      <c r="L37" s="101" t="s">
        <v>236</v>
      </c>
      <c r="M37" s="101"/>
      <c r="N37" s="101">
        <v>3010</v>
      </c>
      <c r="O37" s="101"/>
      <c r="P37" s="101" t="s">
        <v>536</v>
      </c>
      <c r="Q37" s="101" t="s">
        <v>568</v>
      </c>
      <c r="R37" s="101"/>
      <c r="S37" s="101"/>
      <c r="T37" s="101"/>
      <c r="U37" s="101"/>
      <c r="V37" s="101" t="s">
        <v>40</v>
      </c>
      <c r="W37" s="101">
        <v>4501501</v>
      </c>
      <c r="X37" t="str">
        <f t="shared" si="0"/>
        <v>LC Chgs</v>
      </c>
    </row>
    <row r="38" spans="1:24" hidden="1">
      <c r="A38" s="101"/>
      <c r="B38" s="101">
        <v>20260406</v>
      </c>
      <c r="C38" s="101">
        <v>1900000403</v>
      </c>
      <c r="D38" s="101" t="s">
        <v>534</v>
      </c>
      <c r="E38" s="101" t="s">
        <v>535</v>
      </c>
      <c r="F38" s="102">
        <v>46177</v>
      </c>
      <c r="G38" s="101">
        <v>40</v>
      </c>
      <c r="H38" s="101">
        <v>211.87</v>
      </c>
      <c r="I38" s="101" t="s">
        <v>193</v>
      </c>
      <c r="J38" s="101">
        <v>13</v>
      </c>
      <c r="K38" s="101"/>
      <c r="L38" s="101">
        <v>24611381</v>
      </c>
      <c r="M38" s="101"/>
      <c r="N38" s="101">
        <v>3010</v>
      </c>
      <c r="O38" s="101"/>
      <c r="P38" s="101" t="s">
        <v>539</v>
      </c>
      <c r="Q38" s="101" t="s">
        <v>562</v>
      </c>
      <c r="R38" s="101"/>
      <c r="S38" s="101"/>
      <c r="T38" s="101"/>
      <c r="U38" s="101"/>
      <c r="V38" s="101" t="s">
        <v>40</v>
      </c>
      <c r="W38" s="101">
        <v>4501501</v>
      </c>
      <c r="X38" t="str">
        <f t="shared" si="0"/>
        <v>Others</v>
      </c>
    </row>
    <row r="39" spans="1:24" hidden="1">
      <c r="A39" s="101"/>
      <c r="B39" s="101">
        <v>20260406</v>
      </c>
      <c r="C39" s="101">
        <v>1900000403</v>
      </c>
      <c r="D39" s="101" t="s">
        <v>534</v>
      </c>
      <c r="E39" s="101" t="s">
        <v>535</v>
      </c>
      <c r="F39" s="102">
        <v>46177</v>
      </c>
      <c r="G39" s="101">
        <v>40</v>
      </c>
      <c r="H39" s="101">
        <v>134</v>
      </c>
      <c r="I39" s="101" t="s">
        <v>193</v>
      </c>
      <c r="J39" s="101"/>
      <c r="K39" s="101"/>
      <c r="L39" s="101">
        <v>24611381</v>
      </c>
      <c r="M39" s="101"/>
      <c r="N39" s="101">
        <v>3010</v>
      </c>
      <c r="O39" s="101"/>
      <c r="P39" s="101" t="s">
        <v>539</v>
      </c>
      <c r="Q39" s="101" t="s">
        <v>563</v>
      </c>
      <c r="R39" s="101"/>
      <c r="S39" s="101"/>
      <c r="T39" s="101"/>
      <c r="U39" s="101"/>
      <c r="V39" s="101" t="s">
        <v>40</v>
      </c>
      <c r="W39" s="101">
        <v>4501501</v>
      </c>
      <c r="X39" t="str">
        <f t="shared" si="0"/>
        <v>Others</v>
      </c>
    </row>
    <row r="40" spans="1:24" hidden="1">
      <c r="A40" s="101"/>
      <c r="B40" s="101">
        <v>20260406</v>
      </c>
      <c r="C40" s="101">
        <v>1900000404</v>
      </c>
      <c r="D40" s="101" t="s">
        <v>534</v>
      </c>
      <c r="E40" s="101" t="s">
        <v>535</v>
      </c>
      <c r="F40" s="102">
        <v>46177</v>
      </c>
      <c r="G40" s="101">
        <v>40</v>
      </c>
      <c r="H40" s="101">
        <v>211.87</v>
      </c>
      <c r="I40" s="101" t="s">
        <v>193</v>
      </c>
      <c r="J40" s="101">
        <v>13</v>
      </c>
      <c r="K40" s="101"/>
      <c r="L40" s="101">
        <v>24611382</v>
      </c>
      <c r="M40" s="101"/>
      <c r="N40" s="101">
        <v>3010</v>
      </c>
      <c r="O40" s="101"/>
      <c r="P40" s="101" t="s">
        <v>539</v>
      </c>
      <c r="Q40" s="101" t="s">
        <v>564</v>
      </c>
      <c r="R40" s="101"/>
      <c r="S40" s="101"/>
      <c r="T40" s="101"/>
      <c r="U40" s="101"/>
      <c r="V40" s="101" t="s">
        <v>40</v>
      </c>
      <c r="W40" s="101">
        <v>4501501</v>
      </c>
      <c r="X40" t="str">
        <f t="shared" si="0"/>
        <v>Others</v>
      </c>
    </row>
    <row r="41" spans="1:24" hidden="1">
      <c r="A41" s="101"/>
      <c r="B41" s="101">
        <v>20260406</v>
      </c>
      <c r="C41" s="101">
        <v>1900000404</v>
      </c>
      <c r="D41" s="101" t="s">
        <v>534</v>
      </c>
      <c r="E41" s="101" t="s">
        <v>535</v>
      </c>
      <c r="F41" s="102">
        <v>46177</v>
      </c>
      <c r="G41" s="101">
        <v>40</v>
      </c>
      <c r="H41" s="101">
        <v>153</v>
      </c>
      <c r="I41" s="101" t="s">
        <v>193</v>
      </c>
      <c r="J41" s="101"/>
      <c r="K41" s="101"/>
      <c r="L41" s="101">
        <v>24611382</v>
      </c>
      <c r="M41" s="101"/>
      <c r="N41" s="101">
        <v>3010</v>
      </c>
      <c r="O41" s="101"/>
      <c r="P41" s="101" t="s">
        <v>539</v>
      </c>
      <c r="Q41" s="101" t="s">
        <v>565</v>
      </c>
      <c r="R41" s="101"/>
      <c r="S41" s="101"/>
      <c r="T41" s="101"/>
      <c r="U41" s="101"/>
      <c r="V41" s="101" t="s">
        <v>40</v>
      </c>
      <c r="W41" s="101">
        <v>4501501</v>
      </c>
      <c r="X41" t="str">
        <f t="shared" si="0"/>
        <v>Others</v>
      </c>
    </row>
    <row r="42" spans="1:24" hidden="1">
      <c r="A42" s="101"/>
      <c r="B42" s="101">
        <v>20260406</v>
      </c>
      <c r="C42" s="101">
        <v>1900000463</v>
      </c>
      <c r="D42" s="101" t="s">
        <v>534</v>
      </c>
      <c r="E42" s="101" t="s">
        <v>535</v>
      </c>
      <c r="F42" s="102">
        <v>46177</v>
      </c>
      <c r="G42" s="101">
        <v>40</v>
      </c>
      <c r="H42" s="101">
        <v>24.75</v>
      </c>
      <c r="I42" s="101" t="s">
        <v>193</v>
      </c>
      <c r="J42" s="101">
        <v>1</v>
      </c>
      <c r="K42" s="101"/>
      <c r="L42" s="101" t="s">
        <v>540</v>
      </c>
      <c r="M42" s="101"/>
      <c r="N42" s="101">
        <v>3010</v>
      </c>
      <c r="O42" s="101"/>
      <c r="P42" s="101" t="s">
        <v>539</v>
      </c>
      <c r="Q42" s="101" t="s">
        <v>540</v>
      </c>
      <c r="R42" s="101"/>
      <c r="S42" s="101"/>
      <c r="T42" s="101"/>
      <c r="U42" s="101"/>
      <c r="V42" s="101" t="s">
        <v>40</v>
      </c>
      <c r="W42" s="101">
        <v>4501501</v>
      </c>
      <c r="X42" t="str">
        <f t="shared" si="0"/>
        <v>Others</v>
      </c>
    </row>
    <row r="43" spans="1:24" hidden="1">
      <c r="A43" s="101"/>
      <c r="B43" s="101">
        <v>20260406</v>
      </c>
      <c r="C43" s="101">
        <v>1900000562</v>
      </c>
      <c r="D43" s="101" t="s">
        <v>534</v>
      </c>
      <c r="E43" s="101" t="s">
        <v>535</v>
      </c>
      <c r="F43" s="102">
        <v>46177</v>
      </c>
      <c r="G43" s="101">
        <v>40</v>
      </c>
      <c r="H43" s="103">
        <v>5900</v>
      </c>
      <c r="I43" s="101" t="s">
        <v>193</v>
      </c>
      <c r="J43" s="101"/>
      <c r="K43" s="101"/>
      <c r="L43" s="101" t="s">
        <v>566</v>
      </c>
      <c r="M43" s="101"/>
      <c r="N43" s="101">
        <v>3010</v>
      </c>
      <c r="O43" s="101"/>
      <c r="P43" s="101" t="s">
        <v>539</v>
      </c>
      <c r="Q43" s="101" t="s">
        <v>567</v>
      </c>
      <c r="R43" s="101"/>
      <c r="S43" s="101"/>
      <c r="T43" s="101"/>
      <c r="U43" s="101"/>
      <c r="V43" s="101" t="s">
        <v>40</v>
      </c>
      <c r="W43" s="101">
        <v>4501501</v>
      </c>
      <c r="X43" t="str">
        <f t="shared" si="0"/>
        <v>Others</v>
      </c>
    </row>
    <row r="44" spans="1:24" hidden="1">
      <c r="A44" s="101"/>
      <c r="B44" s="101">
        <v>20260406</v>
      </c>
      <c r="C44" s="101">
        <v>1900000564</v>
      </c>
      <c r="D44" s="101" t="s">
        <v>534</v>
      </c>
      <c r="E44" s="101" t="s">
        <v>535</v>
      </c>
      <c r="F44" s="102">
        <v>46177</v>
      </c>
      <c r="G44" s="101">
        <v>40</v>
      </c>
      <c r="H44" s="101">
        <v>24.75</v>
      </c>
      <c r="I44" s="101" t="s">
        <v>193</v>
      </c>
      <c r="J44" s="101">
        <v>1</v>
      </c>
      <c r="K44" s="101"/>
      <c r="L44" s="101" t="s">
        <v>541</v>
      </c>
      <c r="M44" s="101"/>
      <c r="N44" s="101">
        <v>3010</v>
      </c>
      <c r="O44" s="101"/>
      <c r="P44" s="101" t="s">
        <v>539</v>
      </c>
      <c r="Q44" s="101" t="s">
        <v>541</v>
      </c>
      <c r="R44" s="101"/>
      <c r="S44" s="101"/>
      <c r="T44" s="101"/>
      <c r="U44" s="101"/>
      <c r="V44" s="101" t="s">
        <v>40</v>
      </c>
      <c r="W44" s="101">
        <v>4501501</v>
      </c>
      <c r="X44" t="str">
        <f t="shared" si="0"/>
        <v>Others</v>
      </c>
    </row>
    <row r="45" spans="1:24" hidden="1">
      <c r="A45" s="101"/>
      <c r="B45" s="101">
        <v>20260406</v>
      </c>
      <c r="C45" s="101">
        <v>1900000658</v>
      </c>
      <c r="D45" s="101" t="s">
        <v>534</v>
      </c>
      <c r="E45" s="101" t="s">
        <v>535</v>
      </c>
      <c r="F45" s="102">
        <v>46177</v>
      </c>
      <c r="G45" s="101">
        <v>40</v>
      </c>
      <c r="H45" s="103">
        <v>2500</v>
      </c>
      <c r="I45" s="101" t="s">
        <v>193</v>
      </c>
      <c r="J45" s="101">
        <v>1</v>
      </c>
      <c r="K45" s="101"/>
      <c r="L45" s="101" t="s">
        <v>378</v>
      </c>
      <c r="M45" s="36" t="s">
        <v>378</v>
      </c>
      <c r="N45" s="101">
        <v>3010</v>
      </c>
      <c r="O45" s="101"/>
      <c r="P45" s="101" t="s">
        <v>536</v>
      </c>
      <c r="Q45" s="101" t="s">
        <v>542</v>
      </c>
      <c r="R45" s="101"/>
      <c r="S45" s="101"/>
      <c r="T45" s="101"/>
      <c r="U45" s="101"/>
      <c r="V45" s="101" t="s">
        <v>40</v>
      </c>
      <c r="W45" s="101">
        <v>4501501</v>
      </c>
      <c r="X45" t="str">
        <f t="shared" si="0"/>
        <v>LC Chgs</v>
      </c>
    </row>
    <row r="46" spans="1:24" hidden="1">
      <c r="A46" s="101"/>
      <c r="B46" s="101">
        <v>20260406</v>
      </c>
      <c r="C46" s="101">
        <v>1900000744</v>
      </c>
      <c r="D46" s="101" t="s">
        <v>569</v>
      </c>
      <c r="E46" s="101" t="s">
        <v>535</v>
      </c>
      <c r="F46" s="102">
        <v>46177</v>
      </c>
      <c r="G46" s="101">
        <v>40</v>
      </c>
      <c r="H46" s="103">
        <v>5000</v>
      </c>
      <c r="I46" s="101" t="s">
        <v>193</v>
      </c>
      <c r="J46" s="101">
        <v>1</v>
      </c>
      <c r="K46" s="101"/>
      <c r="L46" s="101" t="s">
        <v>566</v>
      </c>
      <c r="M46" s="101"/>
      <c r="N46" s="101">
        <v>1021</v>
      </c>
      <c r="O46" s="101"/>
      <c r="P46" s="101" t="s">
        <v>539</v>
      </c>
      <c r="Q46" s="101" t="s">
        <v>567</v>
      </c>
      <c r="R46" s="101"/>
      <c r="S46" s="101"/>
      <c r="T46" s="101"/>
      <c r="U46" s="101"/>
      <c r="V46" s="101" t="s">
        <v>40</v>
      </c>
      <c r="W46" s="101">
        <v>4501501</v>
      </c>
      <c r="X46" t="str">
        <f t="shared" si="0"/>
        <v>Others</v>
      </c>
    </row>
    <row r="47" spans="1:24" hidden="1">
      <c r="A47" s="101"/>
      <c r="B47" s="101">
        <v>20260407</v>
      </c>
      <c r="C47" s="101">
        <v>1900000387</v>
      </c>
      <c r="D47" s="101" t="s">
        <v>534</v>
      </c>
      <c r="E47" s="101" t="s">
        <v>535</v>
      </c>
      <c r="F47" s="102">
        <v>46207</v>
      </c>
      <c r="G47" s="101">
        <v>40</v>
      </c>
      <c r="H47" s="103">
        <v>2000</v>
      </c>
      <c r="I47" s="101" t="s">
        <v>193</v>
      </c>
      <c r="J47" s="101">
        <v>1</v>
      </c>
      <c r="K47" s="101"/>
      <c r="L47" s="101" t="s">
        <v>237</v>
      </c>
      <c r="M47" s="101"/>
      <c r="N47" s="101">
        <v>3010</v>
      </c>
      <c r="O47" s="101"/>
      <c r="P47" s="101" t="s">
        <v>539</v>
      </c>
      <c r="Q47" s="101" t="s">
        <v>570</v>
      </c>
      <c r="R47" s="101"/>
      <c r="S47" s="101"/>
      <c r="T47" s="101"/>
      <c r="U47" s="101"/>
      <c r="V47" s="101" t="s">
        <v>40</v>
      </c>
      <c r="W47" s="101">
        <v>4501501</v>
      </c>
      <c r="X47" t="str">
        <f t="shared" si="0"/>
        <v>Others</v>
      </c>
    </row>
    <row r="48" spans="1:24" hidden="1">
      <c r="A48" s="101"/>
      <c r="B48" s="101">
        <v>20260407</v>
      </c>
      <c r="C48" s="101">
        <v>1900000459</v>
      </c>
      <c r="D48" s="101" t="s">
        <v>534</v>
      </c>
      <c r="E48" s="101" t="s">
        <v>535</v>
      </c>
      <c r="F48" s="102">
        <v>46207</v>
      </c>
      <c r="G48" s="101">
        <v>40</v>
      </c>
      <c r="H48" s="101">
        <v>49.5</v>
      </c>
      <c r="I48" s="101" t="s">
        <v>193</v>
      </c>
      <c r="J48" s="101">
        <v>13</v>
      </c>
      <c r="K48" s="101"/>
      <c r="L48" s="101" t="s">
        <v>538</v>
      </c>
      <c r="M48" s="101"/>
      <c r="N48" s="101">
        <v>3010</v>
      </c>
      <c r="O48" s="101"/>
      <c r="P48" s="101" t="s">
        <v>539</v>
      </c>
      <c r="Q48" s="101" t="s">
        <v>538</v>
      </c>
      <c r="R48" s="101"/>
      <c r="S48" s="101"/>
      <c r="T48" s="101"/>
      <c r="U48" s="101"/>
      <c r="V48" s="101" t="s">
        <v>40</v>
      </c>
      <c r="W48" s="101">
        <v>4501501</v>
      </c>
      <c r="X48" t="str">
        <f t="shared" si="0"/>
        <v>Others</v>
      </c>
    </row>
    <row r="49" spans="1:24" hidden="1">
      <c r="A49" s="101"/>
      <c r="B49" s="101">
        <v>20260407</v>
      </c>
      <c r="C49" s="101">
        <v>1900000460</v>
      </c>
      <c r="D49" s="101" t="s">
        <v>534</v>
      </c>
      <c r="E49" s="101" t="s">
        <v>535</v>
      </c>
      <c r="F49" s="102">
        <v>46177</v>
      </c>
      <c r="G49" s="101">
        <v>40</v>
      </c>
      <c r="H49" s="101">
        <v>49.5</v>
      </c>
      <c r="I49" s="101" t="s">
        <v>193</v>
      </c>
      <c r="J49" s="101">
        <v>13</v>
      </c>
      <c r="K49" s="101"/>
      <c r="L49" s="101" t="s">
        <v>538</v>
      </c>
      <c r="M49" s="101"/>
      <c r="N49" s="101">
        <v>3010</v>
      </c>
      <c r="O49" s="101"/>
      <c r="P49" s="101" t="s">
        <v>539</v>
      </c>
      <c r="Q49" s="101" t="s">
        <v>538</v>
      </c>
      <c r="R49" s="101"/>
      <c r="S49" s="101"/>
      <c r="T49" s="101"/>
      <c r="U49" s="101"/>
      <c r="V49" s="101" t="s">
        <v>40</v>
      </c>
      <c r="W49" s="101">
        <v>4501501</v>
      </c>
      <c r="X49" t="str">
        <f t="shared" si="0"/>
        <v>Others</v>
      </c>
    </row>
    <row r="50" spans="1:24" hidden="1">
      <c r="A50" s="101"/>
      <c r="B50" s="101">
        <v>20260407</v>
      </c>
      <c r="C50" s="101">
        <v>1900000472</v>
      </c>
      <c r="D50" s="101" t="s">
        <v>521</v>
      </c>
      <c r="E50" s="101" t="s">
        <v>535</v>
      </c>
      <c r="F50" s="102">
        <v>46207</v>
      </c>
      <c r="G50" s="101">
        <v>40</v>
      </c>
      <c r="H50" s="103">
        <v>1157.32</v>
      </c>
      <c r="I50" s="101" t="s">
        <v>193</v>
      </c>
      <c r="J50" s="101">
        <v>13</v>
      </c>
      <c r="K50" s="101"/>
      <c r="L50" s="101" t="s">
        <v>571</v>
      </c>
      <c r="M50" s="101"/>
      <c r="N50" s="101">
        <v>1021</v>
      </c>
      <c r="O50" s="101"/>
      <c r="P50" s="101" t="s">
        <v>539</v>
      </c>
      <c r="Q50" s="101" t="s">
        <v>572</v>
      </c>
      <c r="R50" s="101"/>
      <c r="S50" s="101"/>
      <c r="T50" s="101"/>
      <c r="U50" s="101"/>
      <c r="V50" s="101" t="s">
        <v>40</v>
      </c>
      <c r="W50" s="101">
        <v>4501501</v>
      </c>
      <c r="X50" t="str">
        <f t="shared" si="0"/>
        <v>Others</v>
      </c>
    </row>
    <row r="51" spans="1:24" hidden="1">
      <c r="A51" s="101"/>
      <c r="B51" s="101">
        <v>20260407</v>
      </c>
      <c r="C51" s="101">
        <v>1900000650</v>
      </c>
      <c r="D51" s="101" t="s">
        <v>534</v>
      </c>
      <c r="E51" s="101" t="s">
        <v>535</v>
      </c>
      <c r="F51" s="102">
        <v>46207</v>
      </c>
      <c r="G51" s="101">
        <v>40</v>
      </c>
      <c r="H51" s="103">
        <v>3000</v>
      </c>
      <c r="I51" s="101" t="s">
        <v>193</v>
      </c>
      <c r="J51" s="101">
        <v>1</v>
      </c>
      <c r="K51" s="101"/>
      <c r="L51" s="101" t="s">
        <v>573</v>
      </c>
      <c r="M51" s="101"/>
      <c r="N51" s="101">
        <v>3010</v>
      </c>
      <c r="O51" s="101"/>
      <c r="P51" s="101" t="s">
        <v>539</v>
      </c>
      <c r="Q51" s="101" t="s">
        <v>574</v>
      </c>
      <c r="R51" s="101"/>
      <c r="S51" s="101"/>
      <c r="T51" s="101"/>
      <c r="U51" s="101"/>
      <c r="V51" s="101" t="s">
        <v>40</v>
      </c>
      <c r="W51" s="101">
        <v>4501501</v>
      </c>
      <c r="X51" t="str">
        <f t="shared" si="0"/>
        <v>Others</v>
      </c>
    </row>
    <row r="52" spans="1:24" hidden="1">
      <c r="A52" s="101"/>
      <c r="B52" s="101">
        <v>20260408</v>
      </c>
      <c r="C52" s="101">
        <v>100000305</v>
      </c>
      <c r="D52" s="101" t="s">
        <v>521</v>
      </c>
      <c r="E52" s="101" t="s">
        <v>522</v>
      </c>
      <c r="F52" s="102">
        <v>46238</v>
      </c>
      <c r="G52" s="101">
        <v>40</v>
      </c>
      <c r="H52" s="103">
        <v>25497.8</v>
      </c>
      <c r="I52" s="101" t="s">
        <v>193</v>
      </c>
      <c r="J52" s="101"/>
      <c r="K52" s="101"/>
      <c r="L52" s="101" t="s">
        <v>256</v>
      </c>
      <c r="M52" s="101"/>
      <c r="N52" s="101">
        <v>1021</v>
      </c>
      <c r="O52" s="101"/>
      <c r="P52" s="101" t="s">
        <v>523</v>
      </c>
      <c r="Q52" s="101" t="s">
        <v>575</v>
      </c>
      <c r="R52" s="101"/>
      <c r="S52" s="101"/>
      <c r="T52" s="101"/>
      <c r="U52" s="101"/>
      <c r="V52" s="101" t="s">
        <v>40</v>
      </c>
      <c r="W52" s="101">
        <v>4501501</v>
      </c>
      <c r="X52" t="str">
        <f t="shared" si="0"/>
        <v>Retirement Chgs</v>
      </c>
    </row>
    <row r="53" spans="1:24" hidden="1">
      <c r="A53" s="101"/>
      <c r="B53" s="101">
        <v>20260408</v>
      </c>
      <c r="C53" s="101">
        <v>100000549</v>
      </c>
      <c r="D53" s="101" t="s">
        <v>521</v>
      </c>
      <c r="E53" s="101" t="s">
        <v>522</v>
      </c>
      <c r="F53" s="102">
        <v>46238</v>
      </c>
      <c r="G53" s="101">
        <v>40</v>
      </c>
      <c r="H53" s="103">
        <v>7205.9</v>
      </c>
      <c r="I53" s="101" t="s">
        <v>193</v>
      </c>
      <c r="J53" s="101"/>
      <c r="K53" s="101"/>
      <c r="L53" s="101" t="s">
        <v>247</v>
      </c>
      <c r="M53" s="101"/>
      <c r="N53" s="101">
        <v>1021</v>
      </c>
      <c r="O53" s="101"/>
      <c r="P53" s="101" t="s">
        <v>523</v>
      </c>
      <c r="Q53" s="101" t="s">
        <v>576</v>
      </c>
      <c r="R53" s="101"/>
      <c r="S53" s="101"/>
      <c r="T53" s="101"/>
      <c r="U53" s="101"/>
      <c r="V53" s="101" t="s">
        <v>40</v>
      </c>
      <c r="W53" s="101">
        <v>4501501</v>
      </c>
      <c r="X53" t="str">
        <f t="shared" si="0"/>
        <v>Retirement Chgs</v>
      </c>
    </row>
    <row r="54" spans="1:24" hidden="1">
      <c r="A54" s="101"/>
      <c r="B54" s="101">
        <v>20260408</v>
      </c>
      <c r="C54" s="101">
        <v>1900000456</v>
      </c>
      <c r="D54" s="101" t="s">
        <v>534</v>
      </c>
      <c r="E54" s="101" t="s">
        <v>535</v>
      </c>
      <c r="F54" s="102">
        <v>46238</v>
      </c>
      <c r="G54" s="101">
        <v>40</v>
      </c>
      <c r="H54" s="101">
        <v>49.5</v>
      </c>
      <c r="I54" s="101" t="s">
        <v>193</v>
      </c>
      <c r="J54" s="101">
        <v>13</v>
      </c>
      <c r="K54" s="101"/>
      <c r="L54" s="101" t="s">
        <v>538</v>
      </c>
      <c r="M54" s="101"/>
      <c r="N54" s="101">
        <v>3010</v>
      </c>
      <c r="O54" s="101"/>
      <c r="P54" s="101" t="s">
        <v>539</v>
      </c>
      <c r="Q54" s="101" t="s">
        <v>538</v>
      </c>
      <c r="R54" s="101"/>
      <c r="S54" s="101"/>
      <c r="T54" s="101"/>
      <c r="U54" s="101"/>
      <c r="V54" s="101" t="s">
        <v>40</v>
      </c>
      <c r="W54" s="101">
        <v>4501501</v>
      </c>
      <c r="X54" t="str">
        <f t="shared" si="0"/>
        <v>Others</v>
      </c>
    </row>
    <row r="55" spans="1:24" hidden="1">
      <c r="A55" s="101"/>
      <c r="B55" s="101">
        <v>20260408</v>
      </c>
      <c r="C55" s="101">
        <v>1900000457</v>
      </c>
      <c r="D55" s="101" t="s">
        <v>534</v>
      </c>
      <c r="E55" s="101" t="s">
        <v>535</v>
      </c>
      <c r="F55" s="102">
        <v>46238</v>
      </c>
      <c r="G55" s="101">
        <v>40</v>
      </c>
      <c r="H55" s="101">
        <v>49.5</v>
      </c>
      <c r="I55" s="101" t="s">
        <v>193</v>
      </c>
      <c r="J55" s="101">
        <v>13</v>
      </c>
      <c r="K55" s="101"/>
      <c r="L55" s="101" t="s">
        <v>538</v>
      </c>
      <c r="M55" s="101"/>
      <c r="N55" s="101">
        <v>3010</v>
      </c>
      <c r="O55" s="101"/>
      <c r="P55" s="101" t="s">
        <v>539</v>
      </c>
      <c r="Q55" s="101" t="s">
        <v>538</v>
      </c>
      <c r="R55" s="101"/>
      <c r="S55" s="101"/>
      <c r="T55" s="101"/>
      <c r="U55" s="101"/>
      <c r="V55" s="101" t="s">
        <v>40</v>
      </c>
      <c r="W55" s="101">
        <v>4501501</v>
      </c>
      <c r="X55" t="str">
        <f t="shared" si="0"/>
        <v>Others</v>
      </c>
    </row>
    <row r="56" spans="1:24" hidden="1">
      <c r="A56" s="101"/>
      <c r="B56" s="101">
        <v>20260408</v>
      </c>
      <c r="C56" s="101">
        <v>1900000458</v>
      </c>
      <c r="D56" s="101" t="s">
        <v>534</v>
      </c>
      <c r="E56" s="101" t="s">
        <v>535</v>
      </c>
      <c r="F56" s="102">
        <v>46238</v>
      </c>
      <c r="G56" s="101">
        <v>40</v>
      </c>
      <c r="H56" s="101">
        <v>4.75</v>
      </c>
      <c r="I56" s="101" t="s">
        <v>193</v>
      </c>
      <c r="J56" s="101">
        <v>1</v>
      </c>
      <c r="K56" s="101"/>
      <c r="L56" s="101" t="s">
        <v>540</v>
      </c>
      <c r="M56" s="101"/>
      <c r="N56" s="101">
        <v>3010</v>
      </c>
      <c r="O56" s="101"/>
      <c r="P56" s="101" t="s">
        <v>539</v>
      </c>
      <c r="Q56" s="101" t="s">
        <v>540</v>
      </c>
      <c r="R56" s="101"/>
      <c r="S56" s="101"/>
      <c r="T56" s="101"/>
      <c r="U56" s="101"/>
      <c r="V56" s="101" t="s">
        <v>40</v>
      </c>
      <c r="W56" s="101">
        <v>4501501</v>
      </c>
      <c r="X56" t="str">
        <f t="shared" si="0"/>
        <v>Others</v>
      </c>
    </row>
    <row r="57" spans="1:24" hidden="1">
      <c r="A57" s="101"/>
      <c r="B57" s="101">
        <v>20260408</v>
      </c>
      <c r="C57" s="101">
        <v>1900000473</v>
      </c>
      <c r="D57" s="101" t="s">
        <v>521</v>
      </c>
      <c r="E57" s="101" t="s">
        <v>535</v>
      </c>
      <c r="F57" s="102">
        <v>46238</v>
      </c>
      <c r="G57" s="101">
        <v>40</v>
      </c>
      <c r="H57" s="103">
        <v>1037.31</v>
      </c>
      <c r="I57" s="101" t="s">
        <v>193</v>
      </c>
      <c r="J57" s="101">
        <v>13</v>
      </c>
      <c r="K57" s="101"/>
      <c r="L57" s="101" t="s">
        <v>577</v>
      </c>
      <c r="M57" s="101"/>
      <c r="N57" s="101">
        <v>1021</v>
      </c>
      <c r="O57" s="101"/>
      <c r="P57" s="101" t="s">
        <v>539</v>
      </c>
      <c r="Q57" s="101" t="s">
        <v>578</v>
      </c>
      <c r="R57" s="101"/>
      <c r="S57" s="101"/>
      <c r="T57" s="101"/>
      <c r="U57" s="101"/>
      <c r="V57" s="101" t="s">
        <v>40</v>
      </c>
      <c r="W57" s="101">
        <v>4501501</v>
      </c>
      <c r="X57" t="str">
        <f t="shared" si="0"/>
        <v>Others</v>
      </c>
    </row>
    <row r="58" spans="1:24" hidden="1">
      <c r="A58" s="101"/>
      <c r="B58" s="101">
        <v>20260408</v>
      </c>
      <c r="C58" s="101">
        <v>1900000474</v>
      </c>
      <c r="D58" s="101" t="s">
        <v>521</v>
      </c>
      <c r="E58" s="101" t="s">
        <v>535</v>
      </c>
      <c r="F58" s="102">
        <v>46238</v>
      </c>
      <c r="G58" s="101">
        <v>40</v>
      </c>
      <c r="H58" s="101">
        <v>264.48</v>
      </c>
      <c r="I58" s="101" t="s">
        <v>193</v>
      </c>
      <c r="J58" s="101">
        <v>13</v>
      </c>
      <c r="K58" s="101"/>
      <c r="L58" s="101" t="s">
        <v>579</v>
      </c>
      <c r="M58" s="101"/>
      <c r="N58" s="101">
        <v>1021</v>
      </c>
      <c r="O58" s="101"/>
      <c r="P58" s="101" t="s">
        <v>539</v>
      </c>
      <c r="Q58" s="101" t="s">
        <v>580</v>
      </c>
      <c r="R58" s="101"/>
      <c r="S58" s="101"/>
      <c r="T58" s="101"/>
      <c r="U58" s="101"/>
      <c r="V58" s="101" t="s">
        <v>40</v>
      </c>
      <c r="W58" s="101">
        <v>4501501</v>
      </c>
      <c r="X58" t="str">
        <f t="shared" si="0"/>
        <v>Others</v>
      </c>
    </row>
    <row r="59" spans="1:24" hidden="1">
      <c r="A59" s="101"/>
      <c r="B59" s="101">
        <v>20260408</v>
      </c>
      <c r="C59" s="101">
        <v>1900000475</v>
      </c>
      <c r="D59" s="101" t="s">
        <v>521</v>
      </c>
      <c r="E59" s="101" t="s">
        <v>535</v>
      </c>
      <c r="F59" s="102">
        <v>46238</v>
      </c>
      <c r="G59" s="101">
        <v>40</v>
      </c>
      <c r="H59" s="101">
        <v>28.38</v>
      </c>
      <c r="I59" s="101" t="s">
        <v>193</v>
      </c>
      <c r="J59" s="101">
        <v>13</v>
      </c>
      <c r="K59" s="101"/>
      <c r="L59" s="101" t="s">
        <v>581</v>
      </c>
      <c r="M59" s="101"/>
      <c r="N59" s="101">
        <v>1021</v>
      </c>
      <c r="O59" s="101"/>
      <c r="P59" s="101" t="s">
        <v>539</v>
      </c>
      <c r="Q59" s="101" t="s">
        <v>582</v>
      </c>
      <c r="R59" s="101"/>
      <c r="S59" s="101"/>
      <c r="T59" s="101"/>
      <c r="U59" s="101"/>
      <c r="V59" s="101" t="s">
        <v>40</v>
      </c>
      <c r="W59" s="101">
        <v>4501501</v>
      </c>
      <c r="X59" t="str">
        <f t="shared" si="0"/>
        <v>Others</v>
      </c>
    </row>
    <row r="60" spans="1:24" hidden="1">
      <c r="A60" s="101"/>
      <c r="B60" s="101">
        <v>20260408</v>
      </c>
      <c r="C60" s="101">
        <v>1900000625</v>
      </c>
      <c r="D60" s="101" t="s">
        <v>534</v>
      </c>
      <c r="E60" s="101" t="s">
        <v>535</v>
      </c>
      <c r="F60" s="102">
        <v>46238</v>
      </c>
      <c r="G60" s="101">
        <v>40</v>
      </c>
      <c r="H60" s="101">
        <v>100</v>
      </c>
      <c r="I60" s="101" t="s">
        <v>193</v>
      </c>
      <c r="J60" s="101">
        <v>1</v>
      </c>
      <c r="K60" s="101"/>
      <c r="L60" s="101" t="s">
        <v>216</v>
      </c>
      <c r="M60" s="101"/>
      <c r="N60" s="101">
        <v>3010</v>
      </c>
      <c r="O60" s="101"/>
      <c r="P60" s="101" t="s">
        <v>536</v>
      </c>
      <c r="Q60" s="101" t="s">
        <v>583</v>
      </c>
      <c r="R60" s="101"/>
      <c r="S60" s="101"/>
      <c r="T60" s="101"/>
      <c r="U60" s="101"/>
      <c r="V60" s="101" t="s">
        <v>40</v>
      </c>
      <c r="W60" s="101">
        <v>4501501</v>
      </c>
      <c r="X60" t="str">
        <f t="shared" si="0"/>
        <v>LC Chgs</v>
      </c>
    </row>
    <row r="61" spans="1:24" hidden="1">
      <c r="A61" s="101"/>
      <c r="B61" s="101">
        <v>20260409</v>
      </c>
      <c r="C61" s="101">
        <v>1900000143</v>
      </c>
      <c r="D61" s="101" t="s">
        <v>534</v>
      </c>
      <c r="E61" s="101" t="s">
        <v>535</v>
      </c>
      <c r="F61" s="102">
        <v>46269</v>
      </c>
      <c r="G61" s="101">
        <v>40</v>
      </c>
      <c r="H61" s="101">
        <v>49.5</v>
      </c>
      <c r="I61" s="101" t="s">
        <v>193</v>
      </c>
      <c r="J61" s="101">
        <v>13</v>
      </c>
      <c r="K61" s="101"/>
      <c r="L61" s="101" t="s">
        <v>538</v>
      </c>
      <c r="M61" s="101"/>
      <c r="N61" s="101">
        <v>3010</v>
      </c>
      <c r="O61" s="101"/>
      <c r="P61" s="101" t="s">
        <v>539</v>
      </c>
      <c r="Q61" s="101" t="s">
        <v>538</v>
      </c>
      <c r="R61" s="101"/>
      <c r="S61" s="101"/>
      <c r="T61" s="101"/>
      <c r="U61" s="101"/>
      <c r="V61" s="101" t="s">
        <v>40</v>
      </c>
      <c r="W61" s="101">
        <v>4501501</v>
      </c>
      <c r="X61" t="str">
        <f t="shared" si="0"/>
        <v>Others</v>
      </c>
    </row>
    <row r="62" spans="1:24" hidden="1">
      <c r="A62" s="101"/>
      <c r="B62" s="101">
        <v>20260409</v>
      </c>
      <c r="C62" s="101">
        <v>1900000144</v>
      </c>
      <c r="D62" s="101" t="s">
        <v>534</v>
      </c>
      <c r="E62" s="101" t="s">
        <v>535</v>
      </c>
      <c r="F62" s="102">
        <v>46269</v>
      </c>
      <c r="G62" s="101">
        <v>40</v>
      </c>
      <c r="H62" s="101">
        <v>49.5</v>
      </c>
      <c r="I62" s="101" t="s">
        <v>193</v>
      </c>
      <c r="J62" s="101">
        <v>13</v>
      </c>
      <c r="K62" s="101"/>
      <c r="L62" s="101" t="s">
        <v>538</v>
      </c>
      <c r="M62" s="101"/>
      <c r="N62" s="101">
        <v>3010</v>
      </c>
      <c r="O62" s="101"/>
      <c r="P62" s="101" t="s">
        <v>539</v>
      </c>
      <c r="Q62" s="101" t="s">
        <v>538</v>
      </c>
      <c r="R62" s="101"/>
      <c r="S62" s="101"/>
      <c r="T62" s="101"/>
      <c r="U62" s="101"/>
      <c r="V62" s="101" t="s">
        <v>40</v>
      </c>
      <c r="W62" s="101">
        <v>4501501</v>
      </c>
      <c r="X62" t="str">
        <f t="shared" si="0"/>
        <v>Others</v>
      </c>
    </row>
    <row r="63" spans="1:24" hidden="1">
      <c r="A63" s="101"/>
      <c r="B63" s="101">
        <v>20260409</v>
      </c>
      <c r="C63" s="101">
        <v>1900000389</v>
      </c>
      <c r="D63" s="101" t="s">
        <v>534</v>
      </c>
      <c r="E63" s="101" t="s">
        <v>535</v>
      </c>
      <c r="F63" s="102">
        <v>46269</v>
      </c>
      <c r="G63" s="101">
        <v>40</v>
      </c>
      <c r="H63" s="103">
        <v>2000</v>
      </c>
      <c r="I63" s="101" t="s">
        <v>193</v>
      </c>
      <c r="J63" s="101">
        <v>1</v>
      </c>
      <c r="K63" s="101"/>
      <c r="L63" s="101" t="s">
        <v>238</v>
      </c>
      <c r="M63" s="101"/>
      <c r="N63" s="101">
        <v>3010</v>
      </c>
      <c r="O63" s="101"/>
      <c r="P63" s="101" t="s">
        <v>536</v>
      </c>
      <c r="Q63" s="101" t="s">
        <v>584</v>
      </c>
      <c r="R63" s="101"/>
      <c r="S63" s="101"/>
      <c r="T63" s="101"/>
      <c r="U63" s="101"/>
      <c r="V63" s="101" t="s">
        <v>40</v>
      </c>
      <c r="W63" s="101">
        <v>4501501</v>
      </c>
      <c r="X63" t="str">
        <f t="shared" si="0"/>
        <v>LC Chgs</v>
      </c>
    </row>
    <row r="64" spans="1:24" hidden="1">
      <c r="A64" s="101"/>
      <c r="B64" s="101">
        <v>20260409</v>
      </c>
      <c r="C64" s="101">
        <v>1900000390</v>
      </c>
      <c r="D64" s="101" t="s">
        <v>534</v>
      </c>
      <c r="E64" s="101" t="s">
        <v>535</v>
      </c>
      <c r="F64" s="102">
        <v>46269</v>
      </c>
      <c r="G64" s="101">
        <v>40</v>
      </c>
      <c r="H64" s="103">
        <v>2000</v>
      </c>
      <c r="I64" s="101" t="s">
        <v>193</v>
      </c>
      <c r="J64" s="101">
        <v>1</v>
      </c>
      <c r="K64" s="101"/>
      <c r="L64" s="101" t="s">
        <v>233</v>
      </c>
      <c r="M64" s="101"/>
      <c r="N64" s="101">
        <v>3010</v>
      </c>
      <c r="O64" s="101"/>
      <c r="P64" s="101" t="s">
        <v>536</v>
      </c>
      <c r="Q64" s="101" t="s">
        <v>585</v>
      </c>
      <c r="R64" s="101"/>
      <c r="S64" s="101"/>
      <c r="T64" s="101"/>
      <c r="U64" s="101"/>
      <c r="V64" s="101" t="s">
        <v>40</v>
      </c>
      <c r="W64" s="101">
        <v>4501501</v>
      </c>
      <c r="X64" t="str">
        <f t="shared" si="0"/>
        <v>LC Chgs</v>
      </c>
    </row>
    <row r="65" spans="1:25" hidden="1">
      <c r="A65" s="101"/>
      <c r="B65" s="101">
        <v>20260409</v>
      </c>
      <c r="C65" s="101">
        <v>1900000391</v>
      </c>
      <c r="D65" s="101" t="s">
        <v>534</v>
      </c>
      <c r="E65" s="101" t="s">
        <v>535</v>
      </c>
      <c r="F65" s="102">
        <v>46269</v>
      </c>
      <c r="G65" s="101">
        <v>40</v>
      </c>
      <c r="H65" s="103">
        <v>2000</v>
      </c>
      <c r="I65" s="101" t="s">
        <v>193</v>
      </c>
      <c r="J65" s="101">
        <v>1</v>
      </c>
      <c r="K65" s="101"/>
      <c r="L65" s="101" t="s">
        <v>234</v>
      </c>
      <c r="M65" s="101"/>
      <c r="N65" s="101">
        <v>3010</v>
      </c>
      <c r="O65" s="101"/>
      <c r="P65" s="101" t="s">
        <v>536</v>
      </c>
      <c r="Q65" s="101" t="s">
        <v>586</v>
      </c>
      <c r="R65" s="101"/>
      <c r="S65" s="101"/>
      <c r="T65" s="101"/>
      <c r="U65" s="101"/>
      <c r="V65" s="101" t="s">
        <v>40</v>
      </c>
      <c r="W65" s="101">
        <v>4501501</v>
      </c>
      <c r="X65" t="str">
        <f t="shared" si="0"/>
        <v>LC Chgs</v>
      </c>
    </row>
    <row r="66" spans="1:25" hidden="1">
      <c r="A66" s="101"/>
      <c r="B66" s="101">
        <v>20260409</v>
      </c>
      <c r="C66" s="101">
        <v>1900000478</v>
      </c>
      <c r="D66" s="101" t="s">
        <v>521</v>
      </c>
      <c r="E66" s="101" t="s">
        <v>535</v>
      </c>
      <c r="F66" s="102">
        <v>46269</v>
      </c>
      <c r="G66" s="101">
        <v>40</v>
      </c>
      <c r="H66" s="101">
        <v>336.05</v>
      </c>
      <c r="I66" s="101" t="s">
        <v>193</v>
      </c>
      <c r="J66" s="101">
        <v>13</v>
      </c>
      <c r="K66" s="101"/>
      <c r="L66" s="101" t="s">
        <v>587</v>
      </c>
      <c r="M66" s="101"/>
      <c r="N66" s="101">
        <v>1021</v>
      </c>
      <c r="O66" s="101"/>
      <c r="P66" s="101" t="s">
        <v>539</v>
      </c>
      <c r="Q66" s="101" t="s">
        <v>588</v>
      </c>
      <c r="R66" s="101"/>
      <c r="S66" s="101"/>
      <c r="T66" s="101"/>
      <c r="U66" s="101"/>
      <c r="V66" s="101" t="s">
        <v>40</v>
      </c>
      <c r="W66" s="101">
        <v>4501501</v>
      </c>
      <c r="X66" t="str">
        <f t="shared" si="0"/>
        <v>Others</v>
      </c>
      <c r="Y66" cm="1">
        <f t="array" ref="Y66:Y447">SUMIFS(SAP!H:H,SAP!L:L,SAP!L80:L461,SAP!V:V,Retirement!B77)</f>
        <v>401851.16</v>
      </c>
    </row>
    <row r="67" spans="1:25" hidden="1">
      <c r="A67" s="101"/>
      <c r="B67" s="101">
        <v>20260409</v>
      </c>
      <c r="C67" s="101">
        <v>1900000479</v>
      </c>
      <c r="D67" s="101" t="s">
        <v>521</v>
      </c>
      <c r="E67" s="101" t="s">
        <v>535</v>
      </c>
      <c r="F67" s="102">
        <v>46269</v>
      </c>
      <c r="G67" s="101">
        <v>40</v>
      </c>
      <c r="H67" s="101">
        <v>130.62</v>
      </c>
      <c r="I67" s="101" t="s">
        <v>193</v>
      </c>
      <c r="J67" s="101">
        <v>13</v>
      </c>
      <c r="K67" s="101"/>
      <c r="L67" s="101" t="s">
        <v>589</v>
      </c>
      <c r="M67" s="101"/>
      <c r="N67" s="101">
        <v>1021</v>
      </c>
      <c r="O67" s="101"/>
      <c r="P67" s="101" t="s">
        <v>539</v>
      </c>
      <c r="Q67" s="101" t="s">
        <v>590</v>
      </c>
      <c r="R67" s="101"/>
      <c r="S67" s="101"/>
      <c r="T67" s="101"/>
      <c r="U67" s="101"/>
      <c r="V67" s="101" t="s">
        <v>40</v>
      </c>
      <c r="W67" s="101">
        <v>4501501</v>
      </c>
      <c r="X67" t="str">
        <f t="shared" ref="X67:X130" si="1">VLOOKUP(L67,L:P,5,FALSE)</f>
        <v>Others</v>
      </c>
      <c r="Y67">
        <v>1866906.07</v>
      </c>
    </row>
    <row r="68" spans="1:25" hidden="1">
      <c r="A68" s="101"/>
      <c r="B68" s="101">
        <v>20260409</v>
      </c>
      <c r="C68" s="101">
        <v>1900000480</v>
      </c>
      <c r="D68" s="101" t="s">
        <v>521</v>
      </c>
      <c r="E68" s="101" t="s">
        <v>535</v>
      </c>
      <c r="F68" s="102">
        <v>46269</v>
      </c>
      <c r="G68" s="101">
        <v>40</v>
      </c>
      <c r="H68" s="101">
        <v>251.87</v>
      </c>
      <c r="I68" s="101" t="s">
        <v>193</v>
      </c>
      <c r="J68" s="101">
        <v>13</v>
      </c>
      <c r="K68" s="101"/>
      <c r="L68" s="101" t="s">
        <v>591</v>
      </c>
      <c r="M68" s="101"/>
      <c r="N68" s="101">
        <v>1021</v>
      </c>
      <c r="O68" s="101"/>
      <c r="P68" s="101" t="s">
        <v>539</v>
      </c>
      <c r="Q68" s="101" t="s">
        <v>592</v>
      </c>
      <c r="R68" s="101"/>
      <c r="S68" s="101"/>
      <c r="T68" s="101"/>
      <c r="U68" s="101"/>
      <c r="V68" s="101" t="s">
        <v>40</v>
      </c>
      <c r="W68" s="101">
        <v>4501501</v>
      </c>
      <c r="X68" t="str">
        <f t="shared" si="1"/>
        <v>Others</v>
      </c>
      <c r="Y68">
        <v>2202.5</v>
      </c>
    </row>
    <row r="69" spans="1:25" hidden="1">
      <c r="A69" s="101"/>
      <c r="B69" s="101">
        <v>20260409</v>
      </c>
      <c r="C69" s="101">
        <v>1900000481</v>
      </c>
      <c r="D69" s="101" t="s">
        <v>521</v>
      </c>
      <c r="E69" s="101" t="s">
        <v>535</v>
      </c>
      <c r="F69" s="102">
        <v>46269</v>
      </c>
      <c r="G69" s="101">
        <v>40</v>
      </c>
      <c r="H69" s="101">
        <v>350.92</v>
      </c>
      <c r="I69" s="101" t="s">
        <v>193</v>
      </c>
      <c r="J69" s="101">
        <v>13</v>
      </c>
      <c r="K69" s="101"/>
      <c r="L69" s="101" t="s">
        <v>593</v>
      </c>
      <c r="M69" s="101"/>
      <c r="N69" s="101">
        <v>1021</v>
      </c>
      <c r="O69" s="101"/>
      <c r="P69" s="101" t="s">
        <v>539</v>
      </c>
      <c r="Q69" s="101" t="s">
        <v>594</v>
      </c>
      <c r="R69" s="101"/>
      <c r="S69" s="101"/>
      <c r="T69" s="101"/>
      <c r="U69" s="101"/>
      <c r="V69" s="101" t="s">
        <v>40</v>
      </c>
      <c r="W69" s="101">
        <v>4501501</v>
      </c>
      <c r="X69" t="str">
        <f t="shared" si="1"/>
        <v>Others</v>
      </c>
      <c r="Y69">
        <v>67407.5</v>
      </c>
    </row>
    <row r="70" spans="1:25" hidden="1">
      <c r="A70" s="101"/>
      <c r="B70" s="101">
        <v>20260409</v>
      </c>
      <c r="C70" s="101">
        <v>1900000482</v>
      </c>
      <c r="D70" s="101" t="s">
        <v>521</v>
      </c>
      <c r="E70" s="101" t="s">
        <v>535</v>
      </c>
      <c r="F70" s="102">
        <v>46269</v>
      </c>
      <c r="G70" s="101">
        <v>40</v>
      </c>
      <c r="H70" s="103">
        <v>1141.1600000000001</v>
      </c>
      <c r="I70" s="101" t="s">
        <v>193</v>
      </c>
      <c r="J70" s="101">
        <v>13</v>
      </c>
      <c r="K70" s="101"/>
      <c r="L70" s="101" t="s">
        <v>595</v>
      </c>
      <c r="M70" s="101"/>
      <c r="N70" s="101">
        <v>1021</v>
      </c>
      <c r="O70" s="101"/>
      <c r="P70" s="101" t="s">
        <v>539</v>
      </c>
      <c r="Q70" s="101" t="s">
        <v>596</v>
      </c>
      <c r="R70" s="101"/>
      <c r="S70" s="101"/>
      <c r="T70" s="101"/>
      <c r="U70" s="101"/>
      <c r="V70" s="101" t="s">
        <v>40</v>
      </c>
      <c r="W70" s="101">
        <v>4501501</v>
      </c>
      <c r="X70" t="str">
        <f t="shared" si="1"/>
        <v>Others</v>
      </c>
      <c r="Y70">
        <v>166407.01999999999</v>
      </c>
    </row>
    <row r="71" spans="1:25" hidden="1">
      <c r="A71" s="101"/>
      <c r="B71" s="101">
        <v>20260409</v>
      </c>
      <c r="C71" s="101">
        <v>1900000528</v>
      </c>
      <c r="D71" s="101" t="s">
        <v>534</v>
      </c>
      <c r="E71" s="101" t="s">
        <v>535</v>
      </c>
      <c r="F71" s="102">
        <v>46269</v>
      </c>
      <c r="G71" s="101">
        <v>40</v>
      </c>
      <c r="H71" s="101">
        <v>550</v>
      </c>
      <c r="I71" s="101" t="s">
        <v>193</v>
      </c>
      <c r="J71" s="101">
        <v>1</v>
      </c>
      <c r="K71" s="101"/>
      <c r="L71" s="101" t="s">
        <v>375</v>
      </c>
      <c r="M71" s="101"/>
      <c r="N71" s="101">
        <v>3010</v>
      </c>
      <c r="O71" s="101"/>
      <c r="P71" s="101" t="s">
        <v>536</v>
      </c>
      <c r="Q71" s="101" t="s">
        <v>583</v>
      </c>
      <c r="R71" s="101"/>
      <c r="S71" s="101"/>
      <c r="T71" s="101"/>
      <c r="U71" s="101"/>
      <c r="V71" s="101" t="s">
        <v>40</v>
      </c>
      <c r="W71" s="101">
        <v>4501501</v>
      </c>
      <c r="X71" t="str">
        <f t="shared" si="1"/>
        <v>LC Chgs</v>
      </c>
      <c r="Y71">
        <v>67942.58</v>
      </c>
    </row>
    <row r="72" spans="1:25" hidden="1">
      <c r="A72" s="101"/>
      <c r="B72" s="101">
        <v>20260410</v>
      </c>
      <c r="C72" s="101">
        <v>1900000145</v>
      </c>
      <c r="D72" s="101" t="s">
        <v>534</v>
      </c>
      <c r="E72" s="101" t="s">
        <v>535</v>
      </c>
      <c r="F72" s="102">
        <v>46299</v>
      </c>
      <c r="G72" s="101">
        <v>40</v>
      </c>
      <c r="H72" s="101">
        <v>49.5</v>
      </c>
      <c r="I72" s="101" t="s">
        <v>193</v>
      </c>
      <c r="J72" s="101">
        <v>13</v>
      </c>
      <c r="K72" s="101"/>
      <c r="L72" s="101" t="s">
        <v>538</v>
      </c>
      <c r="M72" s="101"/>
      <c r="N72" s="101">
        <v>3010</v>
      </c>
      <c r="O72" s="101"/>
      <c r="P72" s="101" t="s">
        <v>539</v>
      </c>
      <c r="Q72" s="101" t="s">
        <v>538</v>
      </c>
      <c r="R72" s="101"/>
      <c r="S72" s="101"/>
      <c r="T72" s="101"/>
      <c r="U72" s="101"/>
      <c r="V72" s="101" t="s">
        <v>40</v>
      </c>
      <c r="W72" s="101">
        <v>4501501</v>
      </c>
      <c r="X72" t="str">
        <f t="shared" si="1"/>
        <v>Others</v>
      </c>
      <c r="Y72">
        <v>17598.8</v>
      </c>
    </row>
    <row r="73" spans="1:25" hidden="1">
      <c r="A73" s="101"/>
      <c r="B73" s="101">
        <v>20260410</v>
      </c>
      <c r="C73" s="101">
        <v>1900000395</v>
      </c>
      <c r="D73" s="101" t="s">
        <v>534</v>
      </c>
      <c r="E73" s="101" t="s">
        <v>535</v>
      </c>
      <c r="F73" s="102">
        <v>46299</v>
      </c>
      <c r="G73" s="101">
        <v>40</v>
      </c>
      <c r="H73" s="101">
        <v>100</v>
      </c>
      <c r="I73" s="101" t="s">
        <v>193</v>
      </c>
      <c r="J73" s="101">
        <v>1</v>
      </c>
      <c r="K73" s="101"/>
      <c r="L73" s="101" t="s">
        <v>215</v>
      </c>
      <c r="M73" s="101"/>
      <c r="N73" s="101">
        <v>3010</v>
      </c>
      <c r="O73" s="101"/>
      <c r="P73" s="101" t="s">
        <v>536</v>
      </c>
      <c r="Q73" s="101" t="s">
        <v>583</v>
      </c>
      <c r="R73" s="101"/>
      <c r="S73" s="101"/>
      <c r="T73" s="101"/>
      <c r="U73" s="101"/>
      <c r="V73" s="101" t="s">
        <v>40</v>
      </c>
      <c r="W73" s="101">
        <v>4501501</v>
      </c>
      <c r="X73" t="str">
        <f t="shared" si="1"/>
        <v>LC Chgs</v>
      </c>
      <c r="Y73">
        <v>16947.749999999996</v>
      </c>
    </row>
    <row r="74" spans="1:25" hidden="1">
      <c r="A74" s="101"/>
      <c r="B74" s="101">
        <v>20260410</v>
      </c>
      <c r="C74" s="101">
        <v>1900000396</v>
      </c>
      <c r="D74" s="101" t="s">
        <v>534</v>
      </c>
      <c r="E74" s="101" t="s">
        <v>535</v>
      </c>
      <c r="F74" s="102">
        <v>46299</v>
      </c>
      <c r="G74" s="101">
        <v>40</v>
      </c>
      <c r="H74" s="101">
        <v>100</v>
      </c>
      <c r="I74" s="101" t="s">
        <v>193</v>
      </c>
      <c r="J74" s="101">
        <v>1</v>
      </c>
      <c r="K74" s="101"/>
      <c r="L74" s="101" t="s">
        <v>212</v>
      </c>
      <c r="M74" s="101"/>
      <c r="N74" s="101">
        <v>3010</v>
      </c>
      <c r="O74" s="101"/>
      <c r="P74" s="101" t="s">
        <v>536</v>
      </c>
      <c r="Q74" s="101" t="s">
        <v>583</v>
      </c>
      <c r="R74" s="101"/>
      <c r="S74" s="101"/>
      <c r="T74" s="101"/>
      <c r="U74" s="101"/>
      <c r="V74" s="101" t="s">
        <v>40</v>
      </c>
      <c r="W74" s="101">
        <v>4501501</v>
      </c>
      <c r="X74" t="str">
        <f t="shared" si="1"/>
        <v>LC Chgs</v>
      </c>
      <c r="Y74">
        <v>445.87</v>
      </c>
    </row>
    <row r="75" spans="1:25" hidden="1">
      <c r="A75" s="101"/>
      <c r="B75" s="101">
        <v>20260410</v>
      </c>
      <c r="C75" s="101">
        <v>1900000397</v>
      </c>
      <c r="D75" s="101" t="s">
        <v>534</v>
      </c>
      <c r="E75" s="101" t="s">
        <v>535</v>
      </c>
      <c r="F75" s="102">
        <v>46299</v>
      </c>
      <c r="G75" s="101">
        <v>40</v>
      </c>
      <c r="H75" s="101">
        <v>100</v>
      </c>
      <c r="I75" s="101" t="s">
        <v>193</v>
      </c>
      <c r="J75" s="101">
        <v>1</v>
      </c>
      <c r="K75" s="101"/>
      <c r="L75" s="101" t="s">
        <v>213</v>
      </c>
      <c r="M75" s="101"/>
      <c r="N75" s="101">
        <v>3010</v>
      </c>
      <c r="O75" s="101"/>
      <c r="P75" s="101" t="s">
        <v>597</v>
      </c>
      <c r="Q75" s="101" t="s">
        <v>583</v>
      </c>
      <c r="R75" s="101"/>
      <c r="S75" s="101"/>
      <c r="T75" s="101"/>
      <c r="U75" s="101"/>
      <c r="V75" s="101" t="s">
        <v>40</v>
      </c>
      <c r="W75" s="101">
        <v>4501501</v>
      </c>
      <c r="X75" t="str">
        <f t="shared" si="1"/>
        <v>Retirement chgs</v>
      </c>
      <c r="Y75">
        <v>2202.5</v>
      </c>
    </row>
    <row r="76" spans="1:25" hidden="1">
      <c r="A76" s="101"/>
      <c r="B76" s="101">
        <v>20260410</v>
      </c>
      <c r="C76" s="101">
        <v>1900000660</v>
      </c>
      <c r="D76" s="101" t="s">
        <v>534</v>
      </c>
      <c r="E76" s="101" t="s">
        <v>535</v>
      </c>
      <c r="F76" s="102">
        <v>46299</v>
      </c>
      <c r="G76" s="101">
        <v>40</v>
      </c>
      <c r="H76" s="101">
        <v>500</v>
      </c>
      <c r="I76" s="101" t="s">
        <v>193</v>
      </c>
      <c r="J76" s="101">
        <v>1</v>
      </c>
      <c r="K76" s="101"/>
      <c r="L76" s="101" t="s">
        <v>598</v>
      </c>
      <c r="M76" s="60" t="s">
        <v>491</v>
      </c>
      <c r="N76" s="101">
        <v>3010</v>
      </c>
      <c r="O76" s="101"/>
      <c r="P76" s="101" t="s">
        <v>599</v>
      </c>
      <c r="Q76" s="101" t="s">
        <v>600</v>
      </c>
      <c r="R76" s="101"/>
      <c r="S76" s="101"/>
      <c r="T76" s="101"/>
      <c r="U76" s="101"/>
      <c r="V76" s="101" t="s">
        <v>40</v>
      </c>
      <c r="W76" s="101">
        <v>4501501</v>
      </c>
      <c r="X76" t="str">
        <f t="shared" si="1"/>
        <v>retirement chgs</v>
      </c>
      <c r="Y76">
        <v>2202.5</v>
      </c>
    </row>
    <row r="77" spans="1:25" hidden="1">
      <c r="A77" s="101"/>
      <c r="B77" s="101">
        <v>20260411</v>
      </c>
      <c r="C77" s="101">
        <v>1900000668</v>
      </c>
      <c r="D77" s="101" t="s">
        <v>534</v>
      </c>
      <c r="E77" s="101" t="s">
        <v>535</v>
      </c>
      <c r="F77" s="102">
        <v>46330</v>
      </c>
      <c r="G77" s="101">
        <v>40</v>
      </c>
      <c r="H77" s="101">
        <v>0.49</v>
      </c>
      <c r="I77" s="101" t="s">
        <v>193</v>
      </c>
      <c r="J77" s="101">
        <v>1</v>
      </c>
      <c r="K77" s="101"/>
      <c r="L77" s="101" t="s">
        <v>601</v>
      </c>
      <c r="M77" s="101"/>
      <c r="N77" s="101">
        <v>3010</v>
      </c>
      <c r="O77" s="101"/>
      <c r="P77" s="101" t="s">
        <v>539</v>
      </c>
      <c r="Q77" s="101" t="s">
        <v>602</v>
      </c>
      <c r="R77" s="101"/>
      <c r="S77" s="101"/>
      <c r="T77" s="101"/>
      <c r="U77" s="101"/>
      <c r="V77" s="101" t="s">
        <v>40</v>
      </c>
      <c r="W77" s="101">
        <v>4501501</v>
      </c>
      <c r="X77" t="str">
        <f t="shared" si="1"/>
        <v>Others</v>
      </c>
      <c r="Y77">
        <v>2202.5</v>
      </c>
    </row>
    <row r="78" spans="1:25" hidden="1">
      <c r="A78" s="101"/>
      <c r="B78" s="101">
        <v>20260411</v>
      </c>
      <c r="C78" s="101">
        <v>1900000696</v>
      </c>
      <c r="D78" s="101" t="s">
        <v>534</v>
      </c>
      <c r="E78" s="101" t="s">
        <v>535</v>
      </c>
      <c r="F78" s="102">
        <v>46330</v>
      </c>
      <c r="G78" s="101">
        <v>40</v>
      </c>
      <c r="H78" s="101">
        <v>15.46</v>
      </c>
      <c r="I78" s="101" t="s">
        <v>193</v>
      </c>
      <c r="J78" s="101"/>
      <c r="K78" s="101"/>
      <c r="L78" s="101" t="s">
        <v>603</v>
      </c>
      <c r="M78" s="101"/>
      <c r="N78" s="101">
        <v>3010</v>
      </c>
      <c r="O78" s="101"/>
      <c r="P78" s="101" t="s">
        <v>539</v>
      </c>
      <c r="Q78" s="101" t="s">
        <v>604</v>
      </c>
      <c r="R78" s="101"/>
      <c r="S78" s="101"/>
      <c r="T78" s="101"/>
      <c r="U78" s="101"/>
      <c r="V78" s="101" t="s">
        <v>40</v>
      </c>
      <c r="W78" s="101">
        <v>4501501</v>
      </c>
      <c r="X78" t="str">
        <f t="shared" si="1"/>
        <v>Others</v>
      </c>
      <c r="Y78">
        <v>2202.5</v>
      </c>
    </row>
    <row r="79" spans="1:25" hidden="1">
      <c r="A79" s="101"/>
      <c r="B79" s="101">
        <v>20260411</v>
      </c>
      <c r="C79" s="101">
        <v>1900000696</v>
      </c>
      <c r="D79" s="101" t="s">
        <v>534</v>
      </c>
      <c r="E79" s="101" t="s">
        <v>535</v>
      </c>
      <c r="F79" s="102">
        <v>46330</v>
      </c>
      <c r="G79" s="101">
        <v>40</v>
      </c>
      <c r="H79" s="101">
        <v>1.9</v>
      </c>
      <c r="I79" s="101" t="s">
        <v>193</v>
      </c>
      <c r="J79" s="101">
        <v>1</v>
      </c>
      <c r="K79" s="101"/>
      <c r="L79" s="101" t="s">
        <v>603</v>
      </c>
      <c r="M79" s="101"/>
      <c r="N79" s="101">
        <v>3010</v>
      </c>
      <c r="O79" s="101"/>
      <c r="P79" s="101" t="s">
        <v>539</v>
      </c>
      <c r="Q79" s="101" t="s">
        <v>583</v>
      </c>
      <c r="R79" s="101"/>
      <c r="S79" s="101"/>
      <c r="T79" s="101"/>
      <c r="U79" s="101"/>
      <c r="V79" s="101" t="s">
        <v>40</v>
      </c>
      <c r="W79" s="101">
        <v>4501501</v>
      </c>
      <c r="X79" t="str">
        <f t="shared" si="1"/>
        <v>Others</v>
      </c>
      <c r="Y79">
        <v>401851.16</v>
      </c>
    </row>
    <row r="80" spans="1:25" hidden="1">
      <c r="A80" s="101"/>
      <c r="B80" s="101">
        <v>20260413</v>
      </c>
      <c r="C80" s="101">
        <v>1500000871</v>
      </c>
      <c r="D80" s="101" t="s">
        <v>521</v>
      </c>
      <c r="E80" s="101" t="s">
        <v>605</v>
      </c>
      <c r="F80" s="101" t="s">
        <v>606</v>
      </c>
      <c r="G80" s="101">
        <v>40</v>
      </c>
      <c r="H80" s="103">
        <v>9337</v>
      </c>
      <c r="I80" s="101" t="s">
        <v>193</v>
      </c>
      <c r="J80" s="101"/>
      <c r="K80" s="101"/>
      <c r="L80" s="101" t="s">
        <v>490</v>
      </c>
      <c r="M80" s="101"/>
      <c r="N80" s="101">
        <v>1021</v>
      </c>
      <c r="O80" s="101"/>
      <c r="P80" s="101" t="s">
        <v>523</v>
      </c>
      <c r="Q80" s="101" t="s">
        <v>607</v>
      </c>
      <c r="R80" s="101"/>
      <c r="S80" s="101"/>
      <c r="T80" s="101"/>
      <c r="U80" s="101"/>
      <c r="V80" s="101" t="s">
        <v>40</v>
      </c>
      <c r="W80" s="101">
        <v>4501501</v>
      </c>
      <c r="X80" t="str">
        <f t="shared" si="1"/>
        <v>Retirement Chgs</v>
      </c>
      <c r="Y80">
        <v>30500</v>
      </c>
    </row>
    <row r="81" spans="1:25" hidden="1">
      <c r="A81" s="101"/>
      <c r="B81" s="101">
        <v>20260413</v>
      </c>
      <c r="C81" s="101">
        <v>1500000872</v>
      </c>
      <c r="D81" s="101" t="s">
        <v>521</v>
      </c>
      <c r="E81" s="101" t="s">
        <v>605</v>
      </c>
      <c r="F81" s="101" t="s">
        <v>606</v>
      </c>
      <c r="G81" s="101">
        <v>40</v>
      </c>
      <c r="H81" s="103">
        <v>9337</v>
      </c>
      <c r="I81" s="101" t="s">
        <v>193</v>
      </c>
      <c r="J81" s="101"/>
      <c r="K81" s="101"/>
      <c r="L81" s="101" t="s">
        <v>494</v>
      </c>
      <c r="M81" s="101"/>
      <c r="N81" s="101">
        <v>1021</v>
      </c>
      <c r="O81" s="101"/>
      <c r="P81" s="101" t="s">
        <v>523</v>
      </c>
      <c r="Q81" s="101" t="s">
        <v>607</v>
      </c>
      <c r="R81" s="101"/>
      <c r="S81" s="101"/>
      <c r="T81" s="101"/>
      <c r="U81" s="101"/>
      <c r="V81" s="101" t="s">
        <v>40</v>
      </c>
      <c r="W81" s="101">
        <v>4501501</v>
      </c>
      <c r="X81" t="str">
        <f t="shared" si="1"/>
        <v>Retirement Chgs</v>
      </c>
      <c r="Y81">
        <v>26540.73</v>
      </c>
    </row>
    <row r="82" spans="1:25" hidden="1">
      <c r="A82" s="101"/>
      <c r="B82" s="101">
        <v>20260413</v>
      </c>
      <c r="C82" s="101">
        <v>1900000146</v>
      </c>
      <c r="D82" s="101" t="s">
        <v>534</v>
      </c>
      <c r="E82" s="101" t="s">
        <v>535</v>
      </c>
      <c r="F82" s="101" t="s">
        <v>606</v>
      </c>
      <c r="G82" s="101">
        <v>40</v>
      </c>
      <c r="H82" s="101">
        <v>49.5</v>
      </c>
      <c r="I82" s="101" t="s">
        <v>193</v>
      </c>
      <c r="J82" s="101">
        <v>13</v>
      </c>
      <c r="K82" s="101"/>
      <c r="L82" s="101" t="s">
        <v>538</v>
      </c>
      <c r="M82" s="101"/>
      <c r="N82" s="101">
        <v>3010</v>
      </c>
      <c r="O82" s="101"/>
      <c r="P82" s="101" t="s">
        <v>539</v>
      </c>
      <c r="Q82" s="101" t="s">
        <v>538</v>
      </c>
      <c r="R82" s="101"/>
      <c r="S82" s="101"/>
      <c r="T82" s="101"/>
      <c r="U82" s="101"/>
      <c r="V82" s="101" t="s">
        <v>40</v>
      </c>
      <c r="W82" s="101">
        <v>4501501</v>
      </c>
      <c r="X82" t="str">
        <f t="shared" si="1"/>
        <v>Others</v>
      </c>
      <c r="Y82">
        <v>73.75</v>
      </c>
    </row>
    <row r="83" spans="1:25" hidden="1">
      <c r="A83" s="101"/>
      <c r="B83" s="101">
        <v>20260413</v>
      </c>
      <c r="C83" s="101">
        <v>1900000172</v>
      </c>
      <c r="D83" s="101" t="s">
        <v>534</v>
      </c>
      <c r="E83" s="101" t="s">
        <v>535</v>
      </c>
      <c r="F83" s="101" t="s">
        <v>606</v>
      </c>
      <c r="G83" s="101">
        <v>40</v>
      </c>
      <c r="H83" s="103">
        <v>4500</v>
      </c>
      <c r="I83" s="101" t="s">
        <v>193</v>
      </c>
      <c r="J83" s="101">
        <v>1</v>
      </c>
      <c r="K83" s="101"/>
      <c r="L83" s="101" t="s">
        <v>115</v>
      </c>
      <c r="M83" s="101"/>
      <c r="N83" s="101">
        <v>3010</v>
      </c>
      <c r="O83" s="101"/>
      <c r="P83" s="101" t="s">
        <v>608</v>
      </c>
      <c r="Q83" s="101" t="s">
        <v>609</v>
      </c>
      <c r="R83" s="101"/>
      <c r="S83" s="101"/>
      <c r="T83" s="101"/>
      <c r="U83" s="101"/>
      <c r="V83" s="101" t="s">
        <v>40</v>
      </c>
      <c r="W83" s="101">
        <v>4501501</v>
      </c>
      <c r="X83" t="str">
        <f t="shared" si="1"/>
        <v>LC Sales</v>
      </c>
      <c r="Y83">
        <v>10000</v>
      </c>
    </row>
    <row r="84" spans="1:25" hidden="1">
      <c r="A84" s="101"/>
      <c r="B84" s="101">
        <v>20260413</v>
      </c>
      <c r="C84" s="101">
        <v>1900000173</v>
      </c>
      <c r="D84" s="101" t="s">
        <v>534</v>
      </c>
      <c r="E84" s="101" t="s">
        <v>535</v>
      </c>
      <c r="F84" s="101" t="s">
        <v>606</v>
      </c>
      <c r="G84" s="101">
        <v>40</v>
      </c>
      <c r="H84" s="103">
        <v>4500</v>
      </c>
      <c r="I84" s="101" t="s">
        <v>193</v>
      </c>
      <c r="J84" s="101">
        <v>1</v>
      </c>
      <c r="K84" s="101"/>
      <c r="L84" s="101" t="s">
        <v>112</v>
      </c>
      <c r="M84" s="101"/>
      <c r="N84" s="101">
        <v>3010</v>
      </c>
      <c r="O84" s="101"/>
      <c r="P84" s="101" t="s">
        <v>608</v>
      </c>
      <c r="Q84" s="101" t="s">
        <v>610</v>
      </c>
      <c r="R84" s="101"/>
      <c r="S84" s="101"/>
      <c r="T84" s="101"/>
      <c r="U84" s="101"/>
      <c r="V84" s="101" t="s">
        <v>40</v>
      </c>
      <c r="W84" s="101">
        <v>4501501</v>
      </c>
      <c r="X84" t="str">
        <f t="shared" si="1"/>
        <v>LC Sales</v>
      </c>
      <c r="Y84">
        <v>100</v>
      </c>
    </row>
    <row r="85" spans="1:25" hidden="1">
      <c r="A85" s="101"/>
      <c r="B85" s="101">
        <v>20260413</v>
      </c>
      <c r="C85" s="101">
        <v>1900000181</v>
      </c>
      <c r="D85" s="101" t="s">
        <v>534</v>
      </c>
      <c r="E85" s="101" t="s">
        <v>535</v>
      </c>
      <c r="F85" s="101" t="s">
        <v>606</v>
      </c>
      <c r="G85" s="101">
        <v>40</v>
      </c>
      <c r="H85" s="103">
        <v>4500</v>
      </c>
      <c r="I85" s="101" t="s">
        <v>193</v>
      </c>
      <c r="J85" s="101">
        <v>1</v>
      </c>
      <c r="K85" s="101"/>
      <c r="L85" s="101" t="s">
        <v>118</v>
      </c>
      <c r="M85" s="101"/>
      <c r="N85" s="101">
        <v>3010</v>
      </c>
      <c r="O85" s="101"/>
      <c r="P85" s="101" t="s">
        <v>608</v>
      </c>
      <c r="Q85" s="101" t="s">
        <v>611</v>
      </c>
      <c r="R85" s="101"/>
      <c r="S85" s="101"/>
      <c r="T85" s="101"/>
      <c r="U85" s="101"/>
      <c r="V85" s="101" t="s">
        <v>40</v>
      </c>
      <c r="W85" s="101">
        <v>4501501</v>
      </c>
      <c r="X85" t="str">
        <f t="shared" si="1"/>
        <v>LC Sales</v>
      </c>
      <c r="Y85">
        <v>20430.18</v>
      </c>
    </row>
    <row r="86" spans="1:25" hidden="1">
      <c r="A86" s="101"/>
      <c r="B86" s="101">
        <v>20260413</v>
      </c>
      <c r="C86" s="101">
        <v>1900000214</v>
      </c>
      <c r="D86" s="101" t="s">
        <v>534</v>
      </c>
      <c r="E86" s="101" t="s">
        <v>535</v>
      </c>
      <c r="F86" s="101" t="s">
        <v>606</v>
      </c>
      <c r="G86" s="101">
        <v>40</v>
      </c>
      <c r="H86" s="103">
        <v>4500</v>
      </c>
      <c r="I86" s="101" t="s">
        <v>193</v>
      </c>
      <c r="J86" s="101">
        <v>1</v>
      </c>
      <c r="K86" s="101"/>
      <c r="L86" s="101" t="s">
        <v>104</v>
      </c>
      <c r="M86" s="101"/>
      <c r="N86" s="101">
        <v>3010</v>
      </c>
      <c r="O86" s="101"/>
      <c r="P86" s="101" t="s">
        <v>608</v>
      </c>
      <c r="Q86" s="101" t="s">
        <v>612</v>
      </c>
      <c r="R86" s="101"/>
      <c r="S86" s="101"/>
      <c r="T86" s="101"/>
      <c r="U86" s="101"/>
      <c r="V86" s="101" t="s">
        <v>40</v>
      </c>
      <c r="W86" s="101">
        <v>4501501</v>
      </c>
      <c r="X86" t="str">
        <f t="shared" si="1"/>
        <v>LC Sales</v>
      </c>
      <c r="Y86">
        <v>5656.5</v>
      </c>
    </row>
    <row r="87" spans="1:25" hidden="1">
      <c r="A87" s="101"/>
      <c r="B87" s="101">
        <v>20260413</v>
      </c>
      <c r="C87" s="101">
        <v>1900000215</v>
      </c>
      <c r="D87" s="101" t="s">
        <v>534</v>
      </c>
      <c r="E87" s="101" t="s">
        <v>535</v>
      </c>
      <c r="F87" s="101" t="s">
        <v>606</v>
      </c>
      <c r="G87" s="101">
        <v>40</v>
      </c>
      <c r="H87" s="103">
        <v>4500</v>
      </c>
      <c r="I87" s="101" t="s">
        <v>193</v>
      </c>
      <c r="J87" s="101">
        <v>1</v>
      </c>
      <c r="K87" s="101"/>
      <c r="L87" s="101" t="s">
        <v>107</v>
      </c>
      <c r="M87" s="101"/>
      <c r="N87" s="101">
        <v>3010</v>
      </c>
      <c r="O87" s="101"/>
      <c r="P87" s="101" t="s">
        <v>608</v>
      </c>
      <c r="Q87" s="101" t="s">
        <v>613</v>
      </c>
      <c r="R87" s="101"/>
      <c r="S87" s="101"/>
      <c r="T87" s="101"/>
      <c r="U87" s="101"/>
      <c r="V87" s="101" t="s">
        <v>40</v>
      </c>
      <c r="W87" s="101">
        <v>4501501</v>
      </c>
      <c r="X87" t="str">
        <f t="shared" si="1"/>
        <v>LC Sales</v>
      </c>
      <c r="Y87">
        <v>3959.55</v>
      </c>
    </row>
    <row r="88" spans="1:25" hidden="1">
      <c r="A88" s="101"/>
      <c r="B88" s="101">
        <v>20260413</v>
      </c>
      <c r="C88" s="101">
        <v>1900000408</v>
      </c>
      <c r="D88" s="101" t="s">
        <v>534</v>
      </c>
      <c r="E88" s="101" t="s">
        <v>535</v>
      </c>
      <c r="F88" s="101" t="s">
        <v>606</v>
      </c>
      <c r="G88" s="101">
        <v>40</v>
      </c>
      <c r="H88" s="101">
        <v>100</v>
      </c>
      <c r="I88" s="101" t="s">
        <v>193</v>
      </c>
      <c r="J88" s="101">
        <v>13</v>
      </c>
      <c r="K88" s="101"/>
      <c r="L88" s="101">
        <v>24611381</v>
      </c>
      <c r="M88" s="101"/>
      <c r="N88" s="101">
        <v>3010</v>
      </c>
      <c r="O88" s="101"/>
      <c r="P88" s="101" t="s">
        <v>539</v>
      </c>
      <c r="Q88" s="101" t="s">
        <v>614</v>
      </c>
      <c r="R88" s="101"/>
      <c r="S88" s="101"/>
      <c r="T88" s="101"/>
      <c r="U88" s="101"/>
      <c r="V88" s="101" t="s">
        <v>40</v>
      </c>
      <c r="W88" s="101">
        <v>4501501</v>
      </c>
      <c r="X88" t="str">
        <f t="shared" si="1"/>
        <v>Others</v>
      </c>
      <c r="Y88">
        <v>5656.5</v>
      </c>
    </row>
    <row r="89" spans="1:25" hidden="1">
      <c r="A89" s="101"/>
      <c r="B89" s="101">
        <v>20260413</v>
      </c>
      <c r="C89" s="101">
        <v>1900000451</v>
      </c>
      <c r="D89" s="101" t="s">
        <v>534</v>
      </c>
      <c r="E89" s="101" t="s">
        <v>535</v>
      </c>
      <c r="F89" s="101" t="s">
        <v>606</v>
      </c>
      <c r="G89" s="101">
        <v>40</v>
      </c>
      <c r="H89" s="101">
        <v>49.5</v>
      </c>
      <c r="I89" s="101" t="s">
        <v>193</v>
      </c>
      <c r="J89" s="101">
        <v>13</v>
      </c>
      <c r="K89" s="101"/>
      <c r="L89" s="101" t="s">
        <v>538</v>
      </c>
      <c r="M89" s="101"/>
      <c r="N89" s="101">
        <v>3010</v>
      </c>
      <c r="O89" s="101"/>
      <c r="P89" s="101" t="s">
        <v>539</v>
      </c>
      <c r="Q89" s="101" t="s">
        <v>538</v>
      </c>
      <c r="R89" s="101"/>
      <c r="S89" s="101"/>
      <c r="T89" s="101"/>
      <c r="U89" s="101"/>
      <c r="V89" s="101" t="s">
        <v>40</v>
      </c>
      <c r="W89" s="101">
        <v>4501501</v>
      </c>
      <c r="X89" t="str">
        <f t="shared" si="1"/>
        <v>Others</v>
      </c>
      <c r="Y89">
        <v>124103.74</v>
      </c>
    </row>
    <row r="90" spans="1:25" hidden="1">
      <c r="A90" s="101"/>
      <c r="B90" s="101">
        <v>20260413</v>
      </c>
      <c r="C90" s="101">
        <v>1900000452</v>
      </c>
      <c r="D90" s="101" t="s">
        <v>534</v>
      </c>
      <c r="E90" s="101" t="s">
        <v>535</v>
      </c>
      <c r="F90" s="101" t="s">
        <v>606</v>
      </c>
      <c r="G90" s="101">
        <v>40</v>
      </c>
      <c r="H90" s="101">
        <v>49.5</v>
      </c>
      <c r="I90" s="101" t="s">
        <v>193</v>
      </c>
      <c r="J90" s="101">
        <v>13</v>
      </c>
      <c r="K90" s="101"/>
      <c r="L90" s="101" t="s">
        <v>538</v>
      </c>
      <c r="M90" s="101"/>
      <c r="N90" s="101">
        <v>3010</v>
      </c>
      <c r="O90" s="101"/>
      <c r="P90" s="101" t="s">
        <v>539</v>
      </c>
      <c r="Q90" s="101" t="s">
        <v>538</v>
      </c>
      <c r="R90" s="101"/>
      <c r="S90" s="101"/>
      <c r="T90" s="101"/>
      <c r="U90" s="101"/>
      <c r="V90" s="101" t="s">
        <v>40</v>
      </c>
      <c r="W90" s="101">
        <v>4501501</v>
      </c>
      <c r="X90" t="str">
        <f t="shared" si="1"/>
        <v>Others</v>
      </c>
      <c r="Y90">
        <v>383.87</v>
      </c>
    </row>
    <row r="91" spans="1:25" hidden="1">
      <c r="A91" s="101"/>
      <c r="B91" s="101">
        <v>20260413</v>
      </c>
      <c r="C91" s="101">
        <v>1900000453</v>
      </c>
      <c r="D91" s="101" t="s">
        <v>534</v>
      </c>
      <c r="E91" s="101" t="s">
        <v>535</v>
      </c>
      <c r="F91" s="101" t="s">
        <v>606</v>
      </c>
      <c r="G91" s="101">
        <v>40</v>
      </c>
      <c r="H91" s="101">
        <v>49.5</v>
      </c>
      <c r="I91" s="101" t="s">
        <v>193</v>
      </c>
      <c r="J91" s="101">
        <v>13</v>
      </c>
      <c r="K91" s="101"/>
      <c r="L91" s="101" t="s">
        <v>538</v>
      </c>
      <c r="M91" s="101"/>
      <c r="N91" s="101">
        <v>3010</v>
      </c>
      <c r="O91" s="101"/>
      <c r="P91" s="101" t="s">
        <v>539</v>
      </c>
      <c r="Q91" s="101" t="s">
        <v>538</v>
      </c>
      <c r="R91" s="101"/>
      <c r="S91" s="101"/>
      <c r="T91" s="101"/>
      <c r="U91" s="101"/>
      <c r="V91" s="101" t="s">
        <v>40</v>
      </c>
      <c r="W91" s="101">
        <v>4501501</v>
      </c>
      <c r="X91" t="str">
        <f t="shared" si="1"/>
        <v>Others</v>
      </c>
      <c r="Y91">
        <v>383.87</v>
      </c>
    </row>
    <row r="92" spans="1:25" hidden="1">
      <c r="A92" s="101"/>
      <c r="B92" s="101">
        <v>20260413</v>
      </c>
      <c r="C92" s="101">
        <v>1900000454</v>
      </c>
      <c r="D92" s="101" t="s">
        <v>534</v>
      </c>
      <c r="E92" s="101" t="s">
        <v>535</v>
      </c>
      <c r="F92" s="101" t="s">
        <v>606</v>
      </c>
      <c r="G92" s="101">
        <v>40</v>
      </c>
      <c r="H92" s="101">
        <v>49.5</v>
      </c>
      <c r="I92" s="101" t="s">
        <v>193</v>
      </c>
      <c r="J92" s="101">
        <v>13</v>
      </c>
      <c r="K92" s="101"/>
      <c r="L92" s="101" t="s">
        <v>538</v>
      </c>
      <c r="M92" s="101"/>
      <c r="N92" s="101">
        <v>3010</v>
      </c>
      <c r="O92" s="101"/>
      <c r="P92" s="101" t="s">
        <v>539</v>
      </c>
      <c r="Q92" s="101" t="s">
        <v>538</v>
      </c>
      <c r="R92" s="101"/>
      <c r="S92" s="101"/>
      <c r="T92" s="101"/>
      <c r="U92" s="101"/>
      <c r="V92" s="101" t="s">
        <v>40</v>
      </c>
      <c r="W92" s="101">
        <v>4501501</v>
      </c>
      <c r="X92" t="str">
        <f t="shared" si="1"/>
        <v>Others</v>
      </c>
      <c r="Y92">
        <v>122177.03</v>
      </c>
    </row>
    <row r="93" spans="1:25" hidden="1">
      <c r="A93" s="101"/>
      <c r="B93" s="101">
        <v>20260413</v>
      </c>
      <c r="C93" s="101">
        <v>1900000661</v>
      </c>
      <c r="D93" s="101" t="s">
        <v>534</v>
      </c>
      <c r="E93" s="101" t="s">
        <v>535</v>
      </c>
      <c r="F93" s="101" t="s">
        <v>606</v>
      </c>
      <c r="G93" s="101">
        <v>40</v>
      </c>
      <c r="H93" s="101">
        <v>500</v>
      </c>
      <c r="I93" s="101" t="s">
        <v>193</v>
      </c>
      <c r="J93" s="101">
        <v>1</v>
      </c>
      <c r="K93" s="101"/>
      <c r="L93" s="101" t="s">
        <v>490</v>
      </c>
      <c r="M93" s="101"/>
      <c r="N93" s="101">
        <v>3010</v>
      </c>
      <c r="O93" s="101"/>
      <c r="P93" s="101" t="s">
        <v>523</v>
      </c>
      <c r="Q93" s="101" t="s">
        <v>542</v>
      </c>
      <c r="R93" s="101"/>
      <c r="S93" s="101"/>
      <c r="T93" s="101"/>
      <c r="U93" s="101"/>
      <c r="V93" s="101" t="s">
        <v>40</v>
      </c>
      <c r="W93" s="101">
        <v>4501501</v>
      </c>
      <c r="X93" t="str">
        <f t="shared" si="1"/>
        <v>Retirement Chgs</v>
      </c>
      <c r="Y93">
        <v>124103.74</v>
      </c>
    </row>
    <row r="94" spans="1:25" hidden="1">
      <c r="A94" s="101"/>
      <c r="B94" s="101">
        <v>20260413</v>
      </c>
      <c r="C94" s="101">
        <v>1900000662</v>
      </c>
      <c r="D94" s="101" t="s">
        <v>534</v>
      </c>
      <c r="E94" s="101" t="s">
        <v>535</v>
      </c>
      <c r="F94" s="101" t="s">
        <v>606</v>
      </c>
      <c r="G94" s="101">
        <v>40</v>
      </c>
      <c r="H94" s="101">
        <v>500</v>
      </c>
      <c r="I94" s="101" t="s">
        <v>193</v>
      </c>
      <c r="J94" s="101">
        <v>1</v>
      </c>
      <c r="K94" s="101"/>
      <c r="L94" s="101" t="s">
        <v>615</v>
      </c>
      <c r="M94" s="101"/>
      <c r="N94" s="101">
        <v>3010</v>
      </c>
      <c r="O94" s="101"/>
      <c r="P94" s="101" t="s">
        <v>523</v>
      </c>
      <c r="Q94" s="101" t="s">
        <v>542</v>
      </c>
      <c r="R94" s="101"/>
      <c r="S94" s="101"/>
      <c r="T94" s="101"/>
      <c r="U94" s="101"/>
      <c r="V94" s="101" t="s">
        <v>40</v>
      </c>
      <c r="W94" s="101">
        <v>4501501</v>
      </c>
      <c r="X94" t="str">
        <f t="shared" si="1"/>
        <v>Retirement Chgs</v>
      </c>
      <c r="Y94">
        <v>383.87</v>
      </c>
    </row>
    <row r="95" spans="1:25" hidden="1">
      <c r="A95" s="101"/>
      <c r="B95" s="101">
        <v>20260414</v>
      </c>
      <c r="C95" s="101">
        <v>1900000334</v>
      </c>
      <c r="D95" s="101" t="s">
        <v>521</v>
      </c>
      <c r="E95" s="101" t="s">
        <v>535</v>
      </c>
      <c r="F95" s="101" t="s">
        <v>616</v>
      </c>
      <c r="G95" s="101">
        <v>40</v>
      </c>
      <c r="H95" s="101">
        <v>758.31</v>
      </c>
      <c r="I95" s="101" t="s">
        <v>193</v>
      </c>
      <c r="J95" s="101">
        <v>13</v>
      </c>
      <c r="K95" s="101"/>
      <c r="L95" s="101" t="s">
        <v>617</v>
      </c>
      <c r="M95" s="101"/>
      <c r="N95" s="101">
        <v>1021</v>
      </c>
      <c r="O95" s="101"/>
      <c r="P95" s="101" t="s">
        <v>539</v>
      </c>
      <c r="Q95" s="101" t="s">
        <v>618</v>
      </c>
      <c r="R95" s="101"/>
      <c r="S95" s="101"/>
      <c r="T95" s="101"/>
      <c r="U95" s="101"/>
      <c r="V95" s="101" t="s">
        <v>40</v>
      </c>
      <c r="W95" s="101">
        <v>4501501</v>
      </c>
      <c r="X95" t="str">
        <f t="shared" si="1"/>
        <v>Others</v>
      </c>
      <c r="Y95">
        <v>383.87</v>
      </c>
    </row>
    <row r="96" spans="1:25" hidden="1">
      <c r="A96" s="101"/>
      <c r="B96" s="101">
        <v>20260414</v>
      </c>
      <c r="C96" s="101">
        <v>1900000450</v>
      </c>
      <c r="D96" s="101" t="s">
        <v>534</v>
      </c>
      <c r="E96" s="101" t="s">
        <v>535</v>
      </c>
      <c r="F96" s="101" t="s">
        <v>616</v>
      </c>
      <c r="G96" s="101">
        <v>40</v>
      </c>
      <c r="H96" s="101">
        <v>4.75</v>
      </c>
      <c r="I96" s="101" t="s">
        <v>193</v>
      </c>
      <c r="J96" s="101">
        <v>1</v>
      </c>
      <c r="K96" s="101"/>
      <c r="L96" s="101" t="s">
        <v>540</v>
      </c>
      <c r="M96" s="101"/>
      <c r="N96" s="101">
        <v>3010</v>
      </c>
      <c r="O96" s="101"/>
      <c r="P96" s="101" t="s">
        <v>539</v>
      </c>
      <c r="Q96" s="101" t="s">
        <v>540</v>
      </c>
      <c r="R96" s="101"/>
      <c r="S96" s="101"/>
      <c r="T96" s="101"/>
      <c r="U96" s="101"/>
      <c r="V96" s="101" t="s">
        <v>40</v>
      </c>
      <c r="W96" s="101">
        <v>4501501</v>
      </c>
      <c r="X96" t="str">
        <f t="shared" si="1"/>
        <v>Others</v>
      </c>
      <c r="Y96">
        <v>122177.03</v>
      </c>
    </row>
    <row r="97" spans="1:25" hidden="1">
      <c r="A97" s="101"/>
      <c r="B97" s="101">
        <v>20260414</v>
      </c>
      <c r="C97" s="101">
        <v>1900000701</v>
      </c>
      <c r="D97" s="101" t="s">
        <v>569</v>
      </c>
      <c r="E97" s="101" t="s">
        <v>535</v>
      </c>
      <c r="F97" s="101" t="s">
        <v>616</v>
      </c>
      <c r="G97" s="101">
        <v>40</v>
      </c>
      <c r="H97" s="103">
        <v>10000</v>
      </c>
      <c r="I97" s="101" t="s">
        <v>193</v>
      </c>
      <c r="J97" s="101">
        <v>1</v>
      </c>
      <c r="K97" s="101"/>
      <c r="L97" s="101" t="s">
        <v>619</v>
      </c>
      <c r="M97" s="101"/>
      <c r="N97" s="101">
        <v>1021</v>
      </c>
      <c r="O97" s="101"/>
      <c r="P97" s="101" t="s">
        <v>539</v>
      </c>
      <c r="Q97" s="101" t="s">
        <v>620</v>
      </c>
      <c r="R97" s="101"/>
      <c r="S97" s="101"/>
      <c r="T97" s="101"/>
      <c r="U97" s="101"/>
      <c r="V97" s="101" t="s">
        <v>40</v>
      </c>
      <c r="W97" s="101">
        <v>4501501</v>
      </c>
      <c r="X97" t="str">
        <f t="shared" si="1"/>
        <v>Others</v>
      </c>
      <c r="Y97">
        <v>2202.5</v>
      </c>
    </row>
    <row r="98" spans="1:25" hidden="1">
      <c r="A98" s="101"/>
      <c r="B98" s="101">
        <v>20260415</v>
      </c>
      <c r="C98" s="101">
        <v>1900000409</v>
      </c>
      <c r="D98" s="101" t="s">
        <v>534</v>
      </c>
      <c r="E98" s="101" t="s">
        <v>535</v>
      </c>
      <c r="F98" s="101" t="s">
        <v>621</v>
      </c>
      <c r="G98" s="101">
        <v>40</v>
      </c>
      <c r="H98" s="101">
        <v>100</v>
      </c>
      <c r="I98" s="101" t="s">
        <v>193</v>
      </c>
      <c r="J98" s="101">
        <v>13</v>
      </c>
      <c r="K98" s="101"/>
      <c r="L98" s="101">
        <v>24240500</v>
      </c>
      <c r="M98" s="101"/>
      <c r="N98" s="101">
        <v>3010</v>
      </c>
      <c r="O98" s="101"/>
      <c r="P98" s="101" t="s">
        <v>539</v>
      </c>
      <c r="Q98" s="101" t="s">
        <v>622</v>
      </c>
      <c r="R98" s="101"/>
      <c r="S98" s="101"/>
      <c r="T98" s="101"/>
      <c r="U98" s="101"/>
      <c r="V98" s="101" t="s">
        <v>40</v>
      </c>
      <c r="W98" s="101">
        <v>4501501</v>
      </c>
      <c r="X98" t="str">
        <f t="shared" si="1"/>
        <v>Others</v>
      </c>
      <c r="Y98">
        <v>368025.25</v>
      </c>
    </row>
    <row r="99" spans="1:25" hidden="1">
      <c r="A99" s="101"/>
      <c r="B99" s="101">
        <v>20260416</v>
      </c>
      <c r="C99" s="101">
        <v>100000189</v>
      </c>
      <c r="D99" s="101" t="s">
        <v>521</v>
      </c>
      <c r="E99" s="101" t="s">
        <v>522</v>
      </c>
      <c r="F99" s="101" t="s">
        <v>530</v>
      </c>
      <c r="G99" s="101">
        <v>40</v>
      </c>
      <c r="H99" s="103">
        <v>18666.45</v>
      </c>
      <c r="I99" s="101" t="s">
        <v>193</v>
      </c>
      <c r="J99" s="101"/>
      <c r="K99" s="101"/>
      <c r="L99" s="101" t="s">
        <v>248</v>
      </c>
      <c r="M99" s="101"/>
      <c r="N99" s="101">
        <v>1021</v>
      </c>
      <c r="O99" s="101"/>
      <c r="P99" s="101" t="s">
        <v>523</v>
      </c>
      <c r="Q99" s="101" t="s">
        <v>623</v>
      </c>
      <c r="R99" s="101"/>
      <c r="S99" s="101"/>
      <c r="T99" s="101"/>
      <c r="U99" s="101"/>
      <c r="V99" s="101" t="s">
        <v>40</v>
      </c>
      <c r="W99" s="101">
        <v>4501501</v>
      </c>
      <c r="X99" t="str">
        <f t="shared" si="1"/>
        <v>Retirement Chgs</v>
      </c>
      <c r="Y99">
        <v>74461.31</v>
      </c>
    </row>
    <row r="100" spans="1:25" hidden="1">
      <c r="A100" s="101"/>
      <c r="B100" s="101">
        <v>20260416</v>
      </c>
      <c r="C100" s="101">
        <v>100000190</v>
      </c>
      <c r="D100" s="101" t="s">
        <v>521</v>
      </c>
      <c r="E100" s="101" t="s">
        <v>522</v>
      </c>
      <c r="F100" s="101" t="s">
        <v>530</v>
      </c>
      <c r="G100" s="101">
        <v>40</v>
      </c>
      <c r="H100" s="103">
        <v>5656.5</v>
      </c>
      <c r="I100" s="101" t="s">
        <v>193</v>
      </c>
      <c r="J100" s="101"/>
      <c r="K100" s="101"/>
      <c r="L100" s="101" t="s">
        <v>254</v>
      </c>
      <c r="M100" s="101"/>
      <c r="N100" s="101">
        <v>1021</v>
      </c>
      <c r="O100" s="101"/>
      <c r="P100" s="101" t="s">
        <v>523</v>
      </c>
      <c r="Q100" s="101" t="s">
        <v>624</v>
      </c>
      <c r="R100" s="101"/>
      <c r="S100" s="101"/>
      <c r="T100" s="101"/>
      <c r="U100" s="101"/>
      <c r="V100" s="101" t="s">
        <v>40</v>
      </c>
      <c r="W100" s="101">
        <v>4501501</v>
      </c>
      <c r="X100" t="str">
        <f t="shared" si="1"/>
        <v>Retirement Chgs</v>
      </c>
      <c r="Y100">
        <v>10493.71</v>
      </c>
    </row>
    <row r="101" spans="1:25" hidden="1">
      <c r="A101" s="101"/>
      <c r="B101" s="101">
        <v>20260416</v>
      </c>
      <c r="C101" s="101">
        <v>100000550</v>
      </c>
      <c r="D101" s="101" t="s">
        <v>521</v>
      </c>
      <c r="E101" s="101" t="s">
        <v>522</v>
      </c>
      <c r="F101" s="101" t="s">
        <v>530</v>
      </c>
      <c r="G101" s="101">
        <v>40</v>
      </c>
      <c r="H101" s="103">
        <v>3959.55</v>
      </c>
      <c r="I101" s="101" t="s">
        <v>193</v>
      </c>
      <c r="J101" s="101"/>
      <c r="K101" s="101"/>
      <c r="L101" s="101" t="s">
        <v>249</v>
      </c>
      <c r="M101" s="101"/>
      <c r="N101" s="101">
        <v>1021</v>
      </c>
      <c r="O101" s="101"/>
      <c r="P101" s="101" t="s">
        <v>523</v>
      </c>
      <c r="Q101" s="101" t="s">
        <v>625</v>
      </c>
      <c r="R101" s="101"/>
      <c r="S101" s="101"/>
      <c r="T101" s="101"/>
      <c r="U101" s="101"/>
      <c r="V101" s="101" t="s">
        <v>40</v>
      </c>
      <c r="W101" s="101">
        <v>4501501</v>
      </c>
      <c r="X101" t="str">
        <f t="shared" si="1"/>
        <v>Retirement Chgs</v>
      </c>
      <c r="Y101">
        <v>21205</v>
      </c>
    </row>
    <row r="102" spans="1:25" hidden="1">
      <c r="A102" s="101"/>
      <c r="B102" s="101">
        <v>20260416</v>
      </c>
      <c r="C102" s="101">
        <v>100000551</v>
      </c>
      <c r="D102" s="101" t="s">
        <v>521</v>
      </c>
      <c r="E102" s="101" t="s">
        <v>522</v>
      </c>
      <c r="F102" s="101" t="s">
        <v>530</v>
      </c>
      <c r="G102" s="101">
        <v>40</v>
      </c>
      <c r="H102" s="103">
        <v>5656.5</v>
      </c>
      <c r="I102" s="101" t="s">
        <v>193</v>
      </c>
      <c r="J102" s="101"/>
      <c r="K102" s="101"/>
      <c r="L102" s="101" t="s">
        <v>255</v>
      </c>
      <c r="M102" s="101"/>
      <c r="N102" s="101">
        <v>1021</v>
      </c>
      <c r="O102" s="101"/>
      <c r="P102" s="101" t="s">
        <v>523</v>
      </c>
      <c r="Q102" s="101" t="s">
        <v>626</v>
      </c>
      <c r="R102" s="101"/>
      <c r="S102" s="101"/>
      <c r="T102" s="101"/>
      <c r="U102" s="101"/>
      <c r="V102" s="101" t="s">
        <v>40</v>
      </c>
      <c r="W102" s="101">
        <v>4501501</v>
      </c>
      <c r="X102" t="str">
        <f t="shared" si="1"/>
        <v>Retirement Chgs</v>
      </c>
      <c r="Y102">
        <v>125573.48999999999</v>
      </c>
    </row>
    <row r="103" spans="1:25" hidden="1">
      <c r="A103" s="101"/>
      <c r="B103" s="101">
        <v>20260416</v>
      </c>
      <c r="C103" s="101">
        <v>1700000057</v>
      </c>
      <c r="D103" s="101" t="s">
        <v>534</v>
      </c>
      <c r="E103" s="101" t="s">
        <v>561</v>
      </c>
      <c r="F103" s="101" t="s">
        <v>530</v>
      </c>
      <c r="G103" s="101">
        <v>50</v>
      </c>
      <c r="H103" s="103">
        <v>-1250</v>
      </c>
      <c r="I103" s="101" t="s">
        <v>193</v>
      </c>
      <c r="J103" s="101">
        <v>13</v>
      </c>
      <c r="K103" s="101"/>
      <c r="L103" s="101" t="s">
        <v>194</v>
      </c>
      <c r="M103" s="101"/>
      <c r="N103" s="101">
        <v>3010</v>
      </c>
      <c r="O103" s="101"/>
      <c r="P103" s="101" t="s">
        <v>608</v>
      </c>
      <c r="Q103" s="101" t="s">
        <v>627</v>
      </c>
      <c r="R103" s="101"/>
      <c r="S103" s="101"/>
      <c r="T103" s="101"/>
      <c r="U103" s="101"/>
      <c r="V103" s="101" t="s">
        <v>40</v>
      </c>
      <c r="W103" s="101">
        <v>4501501</v>
      </c>
      <c r="X103" t="str">
        <f t="shared" si="1"/>
        <v>LC Sales</v>
      </c>
      <c r="Y103">
        <v>383.87</v>
      </c>
    </row>
    <row r="104" spans="1:25" hidden="1">
      <c r="A104" s="101"/>
      <c r="B104" s="101">
        <v>20260416</v>
      </c>
      <c r="C104" s="101">
        <v>1700000059</v>
      </c>
      <c r="D104" s="101" t="s">
        <v>534</v>
      </c>
      <c r="E104" s="101" t="s">
        <v>561</v>
      </c>
      <c r="F104" s="101" t="s">
        <v>530</v>
      </c>
      <c r="G104" s="101">
        <v>50</v>
      </c>
      <c r="H104" s="101">
        <v>-211.87</v>
      </c>
      <c r="I104" s="101" t="s">
        <v>193</v>
      </c>
      <c r="J104" s="101">
        <v>13</v>
      </c>
      <c r="K104" s="101"/>
      <c r="L104" s="101">
        <v>24707390</v>
      </c>
      <c r="M104" s="101"/>
      <c r="N104" s="101">
        <v>3010</v>
      </c>
      <c r="O104" s="101"/>
      <c r="P104" s="101" t="s">
        <v>539</v>
      </c>
      <c r="Q104" s="101" t="s">
        <v>628</v>
      </c>
      <c r="R104" s="101"/>
      <c r="S104" s="101"/>
      <c r="T104" s="101"/>
      <c r="U104" s="101"/>
      <c r="V104" s="101" t="s">
        <v>40</v>
      </c>
      <c r="W104" s="101">
        <v>4501501</v>
      </c>
      <c r="X104" t="str">
        <f t="shared" si="1"/>
        <v>Others</v>
      </c>
      <c r="Y104">
        <v>383.87</v>
      </c>
    </row>
    <row r="105" spans="1:25" hidden="1">
      <c r="A105" s="101"/>
      <c r="B105" s="101">
        <v>20260416</v>
      </c>
      <c r="C105" s="101">
        <v>1700000059</v>
      </c>
      <c r="D105" s="101" t="s">
        <v>534</v>
      </c>
      <c r="E105" s="101" t="s">
        <v>561</v>
      </c>
      <c r="F105" s="101" t="s">
        <v>530</v>
      </c>
      <c r="G105" s="101">
        <v>50</v>
      </c>
      <c r="H105" s="101">
        <v>-172</v>
      </c>
      <c r="I105" s="101" t="s">
        <v>193</v>
      </c>
      <c r="J105" s="101"/>
      <c r="K105" s="101"/>
      <c r="L105" s="101">
        <v>24707390</v>
      </c>
      <c r="M105" s="101"/>
      <c r="N105" s="101">
        <v>3010</v>
      </c>
      <c r="O105" s="101"/>
      <c r="P105" s="101" t="s">
        <v>539</v>
      </c>
      <c r="Q105" s="101" t="s">
        <v>629</v>
      </c>
      <c r="R105" s="101"/>
      <c r="S105" s="101"/>
      <c r="T105" s="101"/>
      <c r="U105" s="101"/>
      <c r="V105" s="101" t="s">
        <v>40</v>
      </c>
      <c r="W105" s="101">
        <v>4501501</v>
      </c>
      <c r="X105" t="str">
        <f t="shared" si="1"/>
        <v>Others</v>
      </c>
      <c r="Y105">
        <v>124103.74</v>
      </c>
    </row>
    <row r="106" spans="1:25" hidden="1">
      <c r="A106" s="101"/>
      <c r="B106" s="101">
        <v>20260416</v>
      </c>
      <c r="C106" s="101">
        <v>1700000061</v>
      </c>
      <c r="D106" s="101" t="s">
        <v>534</v>
      </c>
      <c r="E106" s="101" t="s">
        <v>561</v>
      </c>
      <c r="F106" s="101" t="s">
        <v>530</v>
      </c>
      <c r="G106" s="101">
        <v>50</v>
      </c>
      <c r="H106" s="103">
        <v>-1250</v>
      </c>
      <c r="I106" s="101" t="s">
        <v>193</v>
      </c>
      <c r="J106" s="101">
        <v>13</v>
      </c>
      <c r="K106" s="101"/>
      <c r="L106" s="101" t="s">
        <v>192</v>
      </c>
      <c r="M106" s="101"/>
      <c r="N106" s="101">
        <v>3010</v>
      </c>
      <c r="O106" s="101"/>
      <c r="P106" s="101" t="s">
        <v>608</v>
      </c>
      <c r="Q106" s="101" t="s">
        <v>627</v>
      </c>
      <c r="R106" s="101"/>
      <c r="S106" s="101"/>
      <c r="T106" s="101"/>
      <c r="U106" s="101"/>
      <c r="V106" s="101" t="s">
        <v>40</v>
      </c>
      <c r="W106" s="101">
        <v>4501501</v>
      </c>
      <c r="X106" t="str">
        <f t="shared" si="1"/>
        <v>LC Sales</v>
      </c>
      <c r="Y106">
        <v>122177.03</v>
      </c>
    </row>
    <row r="107" spans="1:25" hidden="1">
      <c r="A107" s="101"/>
      <c r="B107" s="101">
        <v>20260416</v>
      </c>
      <c r="C107" s="101">
        <v>1900000139</v>
      </c>
      <c r="D107" s="101" t="s">
        <v>534</v>
      </c>
      <c r="E107" s="101" t="s">
        <v>535</v>
      </c>
      <c r="F107" s="101" t="s">
        <v>530</v>
      </c>
      <c r="G107" s="101">
        <v>40</v>
      </c>
      <c r="H107" s="103">
        <v>1250</v>
      </c>
      <c r="I107" s="101" t="s">
        <v>193</v>
      </c>
      <c r="J107" s="101">
        <v>13</v>
      </c>
      <c r="K107" s="101"/>
      <c r="L107" s="101" t="s">
        <v>194</v>
      </c>
      <c r="M107" s="101"/>
      <c r="N107" s="101">
        <v>3010</v>
      </c>
      <c r="O107" s="101"/>
      <c r="P107" s="101" t="s">
        <v>608</v>
      </c>
      <c r="Q107" s="101" t="s">
        <v>630</v>
      </c>
      <c r="R107" s="101"/>
      <c r="S107" s="101"/>
      <c r="T107" s="101"/>
      <c r="U107" s="101"/>
      <c r="V107" s="101" t="s">
        <v>40</v>
      </c>
      <c r="W107" s="101">
        <v>4501501</v>
      </c>
      <c r="X107" t="str">
        <f t="shared" si="1"/>
        <v>LC Sales</v>
      </c>
      <c r="Y107">
        <v>2202.5</v>
      </c>
    </row>
    <row r="108" spans="1:25" hidden="1">
      <c r="A108" s="101"/>
      <c r="B108" s="101">
        <v>20260416</v>
      </c>
      <c r="C108" s="101">
        <v>1900000140</v>
      </c>
      <c r="D108" s="101" t="s">
        <v>534</v>
      </c>
      <c r="E108" s="101" t="s">
        <v>535</v>
      </c>
      <c r="F108" s="101" t="s">
        <v>530</v>
      </c>
      <c r="G108" s="101">
        <v>40</v>
      </c>
      <c r="H108" s="101">
        <v>211.87</v>
      </c>
      <c r="I108" s="101" t="s">
        <v>193</v>
      </c>
      <c r="J108" s="101">
        <v>13</v>
      </c>
      <c r="K108" s="101"/>
      <c r="L108" s="101">
        <v>24707390</v>
      </c>
      <c r="M108" s="101"/>
      <c r="N108" s="101">
        <v>3010</v>
      </c>
      <c r="O108" s="101"/>
      <c r="P108" s="101" t="s">
        <v>539</v>
      </c>
      <c r="Q108" s="101" t="s">
        <v>628</v>
      </c>
      <c r="R108" s="101"/>
      <c r="S108" s="101"/>
      <c r="T108" s="101"/>
      <c r="U108" s="101"/>
      <c r="V108" s="101" t="s">
        <v>40</v>
      </c>
      <c r="W108" s="101">
        <v>4501501</v>
      </c>
      <c r="X108" t="str">
        <f t="shared" si="1"/>
        <v>Others</v>
      </c>
      <c r="Y108">
        <v>2202.5</v>
      </c>
    </row>
    <row r="109" spans="1:25" hidden="1">
      <c r="A109" s="101"/>
      <c r="B109" s="101">
        <v>20260416</v>
      </c>
      <c r="C109" s="101">
        <v>1900000140</v>
      </c>
      <c r="D109" s="101" t="s">
        <v>534</v>
      </c>
      <c r="E109" s="101" t="s">
        <v>535</v>
      </c>
      <c r="F109" s="101" t="s">
        <v>530</v>
      </c>
      <c r="G109" s="101">
        <v>40</v>
      </c>
      <c r="H109" s="101">
        <v>172</v>
      </c>
      <c r="I109" s="101" t="s">
        <v>193</v>
      </c>
      <c r="J109" s="101"/>
      <c r="K109" s="101"/>
      <c r="L109" s="101">
        <v>24707390</v>
      </c>
      <c r="M109" s="101"/>
      <c r="N109" s="101">
        <v>3010</v>
      </c>
      <c r="O109" s="101"/>
      <c r="P109" s="101" t="s">
        <v>539</v>
      </c>
      <c r="Q109" s="101" t="s">
        <v>629</v>
      </c>
      <c r="R109" s="101"/>
      <c r="S109" s="101"/>
      <c r="T109" s="101"/>
      <c r="U109" s="101"/>
      <c r="V109" s="101" t="s">
        <v>40</v>
      </c>
      <c r="W109" s="101">
        <v>4501501</v>
      </c>
      <c r="X109" t="str">
        <f t="shared" si="1"/>
        <v>Others</v>
      </c>
      <c r="Y109">
        <v>563039.81999999995</v>
      </c>
    </row>
    <row r="110" spans="1:25" hidden="1">
      <c r="A110" s="101"/>
      <c r="B110" s="101">
        <v>20260416</v>
      </c>
      <c r="C110" s="101">
        <v>1900000141</v>
      </c>
      <c r="D110" s="101" t="s">
        <v>534</v>
      </c>
      <c r="E110" s="101" t="s">
        <v>535</v>
      </c>
      <c r="F110" s="101" t="s">
        <v>530</v>
      </c>
      <c r="G110" s="101">
        <v>40</v>
      </c>
      <c r="H110" s="103">
        <v>1250</v>
      </c>
      <c r="I110" s="101" t="s">
        <v>193</v>
      </c>
      <c r="J110" s="101">
        <v>13</v>
      </c>
      <c r="K110" s="101"/>
      <c r="L110" s="101" t="s">
        <v>192</v>
      </c>
      <c r="M110" s="101"/>
      <c r="N110" s="101">
        <v>3010</v>
      </c>
      <c r="O110" s="101"/>
      <c r="P110" s="101" t="s">
        <v>608</v>
      </c>
      <c r="Q110" s="101" t="s">
        <v>630</v>
      </c>
      <c r="R110" s="101"/>
      <c r="S110" s="101"/>
      <c r="T110" s="101"/>
      <c r="U110" s="101"/>
      <c r="V110" s="101" t="s">
        <v>40</v>
      </c>
      <c r="W110" s="101">
        <v>4501501</v>
      </c>
      <c r="X110" t="str">
        <f t="shared" si="1"/>
        <v>LC Sales</v>
      </c>
      <c r="Y110">
        <v>100</v>
      </c>
    </row>
    <row r="111" spans="1:25" hidden="1">
      <c r="A111" s="101"/>
      <c r="B111" s="101">
        <v>20260416</v>
      </c>
      <c r="C111" s="101">
        <v>1900000147</v>
      </c>
      <c r="D111" s="101" t="s">
        <v>534</v>
      </c>
      <c r="E111" s="101" t="s">
        <v>535</v>
      </c>
      <c r="F111" s="101" t="s">
        <v>530</v>
      </c>
      <c r="G111" s="101">
        <v>40</v>
      </c>
      <c r="H111" s="101">
        <v>49.5</v>
      </c>
      <c r="I111" s="101" t="s">
        <v>193</v>
      </c>
      <c r="J111" s="101">
        <v>13</v>
      </c>
      <c r="K111" s="101"/>
      <c r="L111" s="101" t="s">
        <v>538</v>
      </c>
      <c r="M111" s="101"/>
      <c r="N111" s="101">
        <v>3010</v>
      </c>
      <c r="O111" s="101"/>
      <c r="P111" s="101" t="s">
        <v>539</v>
      </c>
      <c r="Q111" s="101" t="s">
        <v>538</v>
      </c>
      <c r="R111" s="101"/>
      <c r="S111" s="101"/>
      <c r="T111" s="101"/>
      <c r="U111" s="101"/>
      <c r="V111" s="101" t="s">
        <v>40</v>
      </c>
      <c r="W111" s="101">
        <v>4501501</v>
      </c>
      <c r="X111" t="str">
        <f t="shared" si="1"/>
        <v>Others</v>
      </c>
      <c r="Y111">
        <v>100</v>
      </c>
    </row>
    <row r="112" spans="1:25" hidden="1">
      <c r="A112" s="101"/>
      <c r="B112" s="101">
        <v>20260416</v>
      </c>
      <c r="C112" s="101">
        <v>1900000174</v>
      </c>
      <c r="D112" s="101" t="s">
        <v>534</v>
      </c>
      <c r="E112" s="101" t="s">
        <v>535</v>
      </c>
      <c r="F112" s="101" t="s">
        <v>530</v>
      </c>
      <c r="G112" s="101">
        <v>40</v>
      </c>
      <c r="H112" s="103">
        <v>4500</v>
      </c>
      <c r="I112" s="101" t="s">
        <v>193</v>
      </c>
      <c r="J112" s="101">
        <v>1</v>
      </c>
      <c r="K112" s="101"/>
      <c r="L112" s="101" t="s">
        <v>130</v>
      </c>
      <c r="M112" s="101"/>
      <c r="N112" s="101">
        <v>3010</v>
      </c>
      <c r="O112" s="101"/>
      <c r="P112" s="101" t="s">
        <v>608</v>
      </c>
      <c r="Q112" s="101" t="s">
        <v>631</v>
      </c>
      <c r="R112" s="101"/>
      <c r="S112" s="101"/>
      <c r="T112" s="101"/>
      <c r="U112" s="101"/>
      <c r="V112" s="101" t="s">
        <v>40</v>
      </c>
      <c r="W112" s="101">
        <v>4501501</v>
      </c>
      <c r="X112" t="str">
        <f t="shared" si="1"/>
        <v>LC Sales</v>
      </c>
      <c r="Y112">
        <v>100</v>
      </c>
    </row>
    <row r="113" spans="1:25" hidden="1">
      <c r="A113" s="101"/>
      <c r="B113" s="101">
        <v>20260416</v>
      </c>
      <c r="C113" s="101">
        <v>1900000175</v>
      </c>
      <c r="D113" s="101" t="s">
        <v>534</v>
      </c>
      <c r="E113" s="101" t="s">
        <v>535</v>
      </c>
      <c r="F113" s="101" t="s">
        <v>530</v>
      </c>
      <c r="G113" s="101">
        <v>40</v>
      </c>
      <c r="H113" s="103">
        <v>4500</v>
      </c>
      <c r="I113" s="101" t="s">
        <v>193</v>
      </c>
      <c r="J113" s="101">
        <v>1</v>
      </c>
      <c r="K113" s="101"/>
      <c r="L113" s="101" t="s">
        <v>126</v>
      </c>
      <c r="M113" s="101"/>
      <c r="N113" s="101">
        <v>3010</v>
      </c>
      <c r="O113" s="101"/>
      <c r="P113" s="101" t="s">
        <v>608</v>
      </c>
      <c r="Q113" s="101" t="s">
        <v>632</v>
      </c>
      <c r="R113" s="101"/>
      <c r="S113" s="101"/>
      <c r="T113" s="101"/>
      <c r="U113" s="101"/>
      <c r="V113" s="101" t="s">
        <v>40</v>
      </c>
      <c r="W113" s="101">
        <v>4501501</v>
      </c>
      <c r="X113" t="str">
        <f t="shared" si="1"/>
        <v>LC Sales</v>
      </c>
      <c r="Y113">
        <v>100</v>
      </c>
    </row>
    <row r="114" spans="1:25" hidden="1">
      <c r="A114" s="101"/>
      <c r="B114" s="101">
        <v>20260416</v>
      </c>
      <c r="C114" s="101">
        <v>1900000335</v>
      </c>
      <c r="D114" s="101" t="s">
        <v>521</v>
      </c>
      <c r="E114" s="101" t="s">
        <v>535</v>
      </c>
      <c r="F114" s="101" t="s">
        <v>530</v>
      </c>
      <c r="G114" s="101">
        <v>40</v>
      </c>
      <c r="H114" s="101">
        <v>299.82</v>
      </c>
      <c r="I114" s="101" t="s">
        <v>193</v>
      </c>
      <c r="J114" s="101">
        <v>13</v>
      </c>
      <c r="K114" s="101"/>
      <c r="L114" s="101" t="s">
        <v>633</v>
      </c>
      <c r="M114" s="101"/>
      <c r="N114" s="101">
        <v>1021</v>
      </c>
      <c r="O114" s="101"/>
      <c r="P114" s="101" t="s">
        <v>539</v>
      </c>
      <c r="Q114" s="101" t="s">
        <v>634</v>
      </c>
      <c r="R114" s="101"/>
      <c r="S114" s="101"/>
      <c r="T114" s="101"/>
      <c r="U114" s="101"/>
      <c r="V114" s="101" t="s">
        <v>40</v>
      </c>
      <c r="W114" s="101">
        <v>4501501</v>
      </c>
      <c r="X114" t="str">
        <f t="shared" si="1"/>
        <v>Others</v>
      </c>
      <c r="Y114">
        <v>100</v>
      </c>
    </row>
    <row r="115" spans="1:25" hidden="1">
      <c r="A115" s="101"/>
      <c r="B115" s="101">
        <v>20260416</v>
      </c>
      <c r="C115" s="101">
        <v>1900000336</v>
      </c>
      <c r="D115" s="101" t="s">
        <v>521</v>
      </c>
      <c r="E115" s="101" t="s">
        <v>535</v>
      </c>
      <c r="F115" s="101" t="s">
        <v>530</v>
      </c>
      <c r="G115" s="101">
        <v>40</v>
      </c>
      <c r="H115" s="101">
        <v>304.64</v>
      </c>
      <c r="I115" s="101" t="s">
        <v>193</v>
      </c>
      <c r="J115" s="101">
        <v>13</v>
      </c>
      <c r="K115" s="101"/>
      <c r="L115" s="101" t="s">
        <v>635</v>
      </c>
      <c r="M115" s="101"/>
      <c r="N115" s="101">
        <v>1021</v>
      </c>
      <c r="O115" s="101"/>
      <c r="P115" s="101" t="s">
        <v>539</v>
      </c>
      <c r="Q115" s="101" t="s">
        <v>636</v>
      </c>
      <c r="R115" s="101"/>
      <c r="S115" s="101"/>
      <c r="T115" s="101"/>
      <c r="U115" s="101"/>
      <c r="V115" s="101" t="s">
        <v>40</v>
      </c>
      <c r="W115" s="101">
        <v>4501501</v>
      </c>
      <c r="X115" t="str">
        <f t="shared" si="1"/>
        <v>Others</v>
      </c>
      <c r="Y115">
        <v>100</v>
      </c>
    </row>
    <row r="116" spans="1:25" hidden="1">
      <c r="A116" s="101"/>
      <c r="B116" s="101">
        <v>20260416</v>
      </c>
      <c r="C116" s="101">
        <v>1900000337</v>
      </c>
      <c r="D116" s="101" t="s">
        <v>521</v>
      </c>
      <c r="E116" s="101" t="s">
        <v>535</v>
      </c>
      <c r="F116" s="101" t="s">
        <v>530</v>
      </c>
      <c r="G116" s="101">
        <v>40</v>
      </c>
      <c r="H116" s="103">
        <v>1804.04</v>
      </c>
      <c r="I116" s="101" t="s">
        <v>193</v>
      </c>
      <c r="J116" s="101">
        <v>13</v>
      </c>
      <c r="K116" s="101"/>
      <c r="L116" s="101" t="s">
        <v>637</v>
      </c>
      <c r="M116" s="101"/>
      <c r="N116" s="101">
        <v>1021</v>
      </c>
      <c r="O116" s="101"/>
      <c r="P116" s="101" t="s">
        <v>539</v>
      </c>
      <c r="Q116" s="101" t="s">
        <v>638</v>
      </c>
      <c r="R116" s="101"/>
      <c r="S116" s="101"/>
      <c r="T116" s="101"/>
      <c r="U116" s="101"/>
      <c r="V116" s="101" t="s">
        <v>40</v>
      </c>
      <c r="W116" s="101">
        <v>4501501</v>
      </c>
      <c r="X116" t="str">
        <f t="shared" si="1"/>
        <v>Others</v>
      </c>
      <c r="Y116">
        <v>2600</v>
      </c>
    </row>
    <row r="117" spans="1:25" hidden="1">
      <c r="A117" s="101"/>
      <c r="B117" s="101">
        <v>20260416</v>
      </c>
      <c r="C117" s="101">
        <v>1900000405</v>
      </c>
      <c r="D117" s="101" t="s">
        <v>534</v>
      </c>
      <c r="E117" s="101" t="s">
        <v>535</v>
      </c>
      <c r="F117" s="101" t="s">
        <v>530</v>
      </c>
      <c r="G117" s="101">
        <v>40</v>
      </c>
      <c r="H117" s="101">
        <v>211.87</v>
      </c>
      <c r="I117" s="101" t="s">
        <v>193</v>
      </c>
      <c r="J117" s="101">
        <v>13</v>
      </c>
      <c r="K117" s="101"/>
      <c r="L117" s="101">
        <v>24707390</v>
      </c>
      <c r="M117" s="101"/>
      <c r="N117" s="101">
        <v>3010</v>
      </c>
      <c r="O117" s="101"/>
      <c r="P117" s="101" t="s">
        <v>539</v>
      </c>
      <c r="Q117" s="101" t="s">
        <v>628</v>
      </c>
      <c r="R117" s="101"/>
      <c r="S117" s="101"/>
      <c r="T117" s="101"/>
      <c r="U117" s="101"/>
      <c r="V117" s="101" t="s">
        <v>40</v>
      </c>
      <c r="W117" s="101">
        <v>4501501</v>
      </c>
      <c r="X117" t="str">
        <f t="shared" si="1"/>
        <v>Others</v>
      </c>
      <c r="Y117">
        <v>115816.22</v>
      </c>
    </row>
    <row r="118" spans="1:25" hidden="1">
      <c r="A118" s="101"/>
      <c r="B118" s="101">
        <v>20260416</v>
      </c>
      <c r="C118" s="101">
        <v>1900000405</v>
      </c>
      <c r="D118" s="101" t="s">
        <v>534</v>
      </c>
      <c r="E118" s="101" t="s">
        <v>535</v>
      </c>
      <c r="F118" s="101" t="s">
        <v>530</v>
      </c>
      <c r="G118" s="101">
        <v>40</v>
      </c>
      <c r="H118" s="101">
        <v>172</v>
      </c>
      <c r="I118" s="101" t="s">
        <v>193</v>
      </c>
      <c r="J118" s="101"/>
      <c r="K118" s="101"/>
      <c r="L118" s="101">
        <v>24707390</v>
      </c>
      <c r="M118" s="101"/>
      <c r="N118" s="101">
        <v>3010</v>
      </c>
      <c r="O118" s="101"/>
      <c r="P118" s="101" t="s">
        <v>539</v>
      </c>
      <c r="Q118" s="101" t="s">
        <v>629</v>
      </c>
      <c r="R118" s="101"/>
      <c r="S118" s="101"/>
      <c r="T118" s="101"/>
      <c r="U118" s="101"/>
      <c r="V118" s="101" t="s">
        <v>40</v>
      </c>
      <c r="W118" s="101">
        <v>4501501</v>
      </c>
      <c r="X118" t="str">
        <f t="shared" si="1"/>
        <v>Others</v>
      </c>
      <c r="Y118">
        <v>100</v>
      </c>
    </row>
    <row r="119" spans="1:25" hidden="1">
      <c r="A119" s="101"/>
      <c r="B119" s="101">
        <v>20260416</v>
      </c>
      <c r="C119" s="101">
        <v>1900000428</v>
      </c>
      <c r="D119" s="101" t="s">
        <v>534</v>
      </c>
      <c r="E119" s="101" t="s">
        <v>535</v>
      </c>
      <c r="F119" s="101" t="s">
        <v>530</v>
      </c>
      <c r="G119" s="101">
        <v>40</v>
      </c>
      <c r="H119" s="103">
        <v>1250</v>
      </c>
      <c r="I119" s="101" t="s">
        <v>193</v>
      </c>
      <c r="J119" s="101">
        <v>13</v>
      </c>
      <c r="K119" s="101"/>
      <c r="L119" s="101" t="s">
        <v>194</v>
      </c>
      <c r="M119" s="101"/>
      <c r="N119" s="101">
        <v>3010</v>
      </c>
      <c r="O119" s="101"/>
      <c r="P119" s="101" t="s">
        <v>608</v>
      </c>
      <c r="Q119" s="101" t="s">
        <v>627</v>
      </c>
      <c r="R119" s="101"/>
      <c r="S119" s="101"/>
      <c r="T119" s="101"/>
      <c r="U119" s="101"/>
      <c r="V119" s="101" t="s">
        <v>40</v>
      </c>
      <c r="W119" s="101">
        <v>4501501</v>
      </c>
      <c r="X119" t="str">
        <f t="shared" si="1"/>
        <v>LC Sales</v>
      </c>
      <c r="Y119">
        <v>100</v>
      </c>
    </row>
    <row r="120" spans="1:25" hidden="1">
      <c r="A120" s="101"/>
      <c r="B120" s="101">
        <v>20260416</v>
      </c>
      <c r="C120" s="101">
        <v>1900000434</v>
      </c>
      <c r="D120" s="101" t="s">
        <v>534</v>
      </c>
      <c r="E120" s="101" t="s">
        <v>535</v>
      </c>
      <c r="F120" s="101" t="s">
        <v>530</v>
      </c>
      <c r="G120" s="101">
        <v>40</v>
      </c>
      <c r="H120" s="103">
        <v>1250</v>
      </c>
      <c r="I120" s="101" t="s">
        <v>193</v>
      </c>
      <c r="J120" s="101">
        <v>13</v>
      </c>
      <c r="K120" s="101"/>
      <c r="L120" s="101" t="s">
        <v>192</v>
      </c>
      <c r="M120" s="101"/>
      <c r="N120" s="101">
        <v>3010</v>
      </c>
      <c r="O120" s="101"/>
      <c r="P120" s="101" t="s">
        <v>608</v>
      </c>
      <c r="Q120" s="101" t="s">
        <v>627</v>
      </c>
      <c r="R120" s="101"/>
      <c r="S120" s="101"/>
      <c r="T120" s="101"/>
      <c r="U120" s="101"/>
      <c r="V120" s="101" t="s">
        <v>40</v>
      </c>
      <c r="W120" s="101">
        <v>4501501</v>
      </c>
      <c r="X120" t="str">
        <f t="shared" si="1"/>
        <v>LC Sales</v>
      </c>
      <c r="Y120">
        <v>100</v>
      </c>
    </row>
    <row r="121" spans="1:25" hidden="1">
      <c r="A121" s="101"/>
      <c r="B121" s="101">
        <v>20260416</v>
      </c>
      <c r="C121" s="101">
        <v>1900000448</v>
      </c>
      <c r="D121" s="101" t="s">
        <v>534</v>
      </c>
      <c r="E121" s="101" t="s">
        <v>535</v>
      </c>
      <c r="F121" s="101" t="s">
        <v>530</v>
      </c>
      <c r="G121" s="101">
        <v>40</v>
      </c>
      <c r="H121" s="101">
        <v>49.5</v>
      </c>
      <c r="I121" s="101" t="s">
        <v>193</v>
      </c>
      <c r="J121" s="101">
        <v>13</v>
      </c>
      <c r="K121" s="101"/>
      <c r="L121" s="101" t="s">
        <v>538</v>
      </c>
      <c r="M121" s="101"/>
      <c r="N121" s="101">
        <v>3010</v>
      </c>
      <c r="O121" s="101"/>
      <c r="P121" s="101" t="s">
        <v>539</v>
      </c>
      <c r="Q121" s="101" t="s">
        <v>538</v>
      </c>
      <c r="R121" s="101"/>
      <c r="S121" s="101"/>
      <c r="T121" s="101"/>
      <c r="U121" s="101"/>
      <c r="V121" s="101" t="s">
        <v>40</v>
      </c>
      <c r="W121" s="101">
        <v>4501501</v>
      </c>
      <c r="X121" t="str">
        <f t="shared" si="1"/>
        <v>Others</v>
      </c>
      <c r="Y121">
        <v>590</v>
      </c>
    </row>
    <row r="122" spans="1:25" hidden="1">
      <c r="A122" s="101"/>
      <c r="B122" s="101">
        <v>20260416</v>
      </c>
      <c r="C122" s="101">
        <v>1900000449</v>
      </c>
      <c r="D122" s="101" t="s">
        <v>534</v>
      </c>
      <c r="E122" s="101" t="s">
        <v>535</v>
      </c>
      <c r="F122" s="101" t="s">
        <v>530</v>
      </c>
      <c r="G122" s="101">
        <v>40</v>
      </c>
      <c r="H122" s="101">
        <v>49.5</v>
      </c>
      <c r="I122" s="101" t="s">
        <v>193</v>
      </c>
      <c r="J122" s="101">
        <v>13</v>
      </c>
      <c r="K122" s="101"/>
      <c r="L122" s="101" t="s">
        <v>538</v>
      </c>
      <c r="M122" s="101"/>
      <c r="N122" s="101">
        <v>3010</v>
      </c>
      <c r="O122" s="101"/>
      <c r="P122" s="101" t="s">
        <v>539</v>
      </c>
      <c r="Q122" s="101" t="s">
        <v>538</v>
      </c>
      <c r="R122" s="101"/>
      <c r="S122" s="101"/>
      <c r="T122" s="101"/>
      <c r="U122" s="101"/>
      <c r="V122" s="101" t="s">
        <v>40</v>
      </c>
      <c r="W122" s="101">
        <v>4501501</v>
      </c>
      <c r="X122" t="str">
        <f t="shared" si="1"/>
        <v>Others</v>
      </c>
      <c r="Y122">
        <v>11233</v>
      </c>
    </row>
    <row r="123" spans="1:25" hidden="1">
      <c r="A123" s="101"/>
      <c r="B123" s="101">
        <v>20260416</v>
      </c>
      <c r="C123" s="101">
        <v>1900000533</v>
      </c>
      <c r="D123" s="101" t="s">
        <v>534</v>
      </c>
      <c r="E123" s="101" t="s">
        <v>535</v>
      </c>
      <c r="F123" s="101" t="s">
        <v>530</v>
      </c>
      <c r="G123" s="101">
        <v>40</v>
      </c>
      <c r="H123" s="101">
        <v>550</v>
      </c>
      <c r="I123" s="101" t="s">
        <v>193</v>
      </c>
      <c r="J123" s="101">
        <v>1</v>
      </c>
      <c r="K123" s="101"/>
      <c r="L123" s="101" t="s">
        <v>375</v>
      </c>
      <c r="M123" s="101"/>
      <c r="N123" s="101">
        <v>3010</v>
      </c>
      <c r="O123" s="101"/>
      <c r="P123" s="101" t="s">
        <v>536</v>
      </c>
      <c r="Q123" s="101" t="s">
        <v>542</v>
      </c>
      <c r="R123" s="101"/>
      <c r="S123" s="101"/>
      <c r="T123" s="101"/>
      <c r="U123" s="101"/>
      <c r="V123" s="101" t="s">
        <v>40</v>
      </c>
      <c r="W123" s="101">
        <v>4501501</v>
      </c>
      <c r="X123" t="str">
        <f t="shared" si="1"/>
        <v>LC Chgs</v>
      </c>
      <c r="Y123">
        <v>125573.48999999999</v>
      </c>
    </row>
    <row r="124" spans="1:25" hidden="1">
      <c r="A124" s="101"/>
      <c r="B124" s="101">
        <v>20260416</v>
      </c>
      <c r="C124" s="101">
        <v>1900000610</v>
      </c>
      <c r="D124" s="101" t="s">
        <v>534</v>
      </c>
      <c r="E124" s="101" t="s">
        <v>535</v>
      </c>
      <c r="F124" s="101" t="s">
        <v>530</v>
      </c>
      <c r="G124" s="101">
        <v>40</v>
      </c>
      <c r="H124" s="101">
        <v>100</v>
      </c>
      <c r="I124" s="101" t="s">
        <v>193</v>
      </c>
      <c r="J124" s="101">
        <v>1</v>
      </c>
      <c r="K124" s="101"/>
      <c r="L124" s="101" t="s">
        <v>639</v>
      </c>
      <c r="M124" s="101"/>
      <c r="N124" s="101">
        <v>3010</v>
      </c>
      <c r="O124" s="101"/>
      <c r="P124" s="101" t="s">
        <v>539</v>
      </c>
      <c r="Q124" s="101" t="s">
        <v>640</v>
      </c>
      <c r="R124" s="101"/>
      <c r="S124" s="101"/>
      <c r="T124" s="101"/>
      <c r="U124" s="101"/>
      <c r="V124" s="101" t="s">
        <v>40</v>
      </c>
      <c r="W124" s="101">
        <v>4501501</v>
      </c>
      <c r="X124" t="str">
        <f t="shared" si="1"/>
        <v>Others</v>
      </c>
      <c r="Y124">
        <v>21205</v>
      </c>
    </row>
    <row r="125" spans="1:25" hidden="1">
      <c r="A125" s="101"/>
      <c r="B125" s="101">
        <v>20260416</v>
      </c>
      <c r="C125" s="101">
        <v>1900000611</v>
      </c>
      <c r="D125" s="101" t="s">
        <v>534</v>
      </c>
      <c r="E125" s="101" t="s">
        <v>535</v>
      </c>
      <c r="F125" s="101" t="s">
        <v>530</v>
      </c>
      <c r="G125" s="101">
        <v>40</v>
      </c>
      <c r="H125" s="101">
        <v>100</v>
      </c>
      <c r="I125" s="101" t="s">
        <v>193</v>
      </c>
      <c r="J125" s="101">
        <v>1</v>
      </c>
      <c r="K125" s="101"/>
      <c r="L125" s="101" t="s">
        <v>641</v>
      </c>
      <c r="M125" s="101"/>
      <c r="N125" s="101">
        <v>3010</v>
      </c>
      <c r="O125" s="101"/>
      <c r="P125" s="101" t="s">
        <v>539</v>
      </c>
      <c r="Q125" s="101" t="s">
        <v>642</v>
      </c>
      <c r="R125" s="101"/>
      <c r="S125" s="101"/>
      <c r="T125" s="101"/>
      <c r="U125" s="101"/>
      <c r="V125" s="101" t="s">
        <v>40</v>
      </c>
      <c r="W125" s="101">
        <v>4501501</v>
      </c>
      <c r="X125" t="str">
        <f t="shared" si="1"/>
        <v>Others</v>
      </c>
      <c r="Y125">
        <v>4753.6099999999997</v>
      </c>
    </row>
    <row r="126" spans="1:25" hidden="1">
      <c r="A126" s="101"/>
      <c r="B126" s="101">
        <v>20260416</v>
      </c>
      <c r="C126" s="101">
        <v>1900000612</v>
      </c>
      <c r="D126" s="101" t="s">
        <v>534</v>
      </c>
      <c r="E126" s="101" t="s">
        <v>535</v>
      </c>
      <c r="F126" s="101" t="s">
        <v>530</v>
      </c>
      <c r="G126" s="101">
        <v>40</v>
      </c>
      <c r="H126" s="101">
        <v>100</v>
      </c>
      <c r="I126" s="101" t="s">
        <v>193</v>
      </c>
      <c r="J126" s="101">
        <v>1</v>
      </c>
      <c r="K126" s="101"/>
      <c r="L126" s="101" t="s">
        <v>643</v>
      </c>
      <c r="M126" s="101"/>
      <c r="N126" s="101">
        <v>3010</v>
      </c>
      <c r="O126" s="101"/>
      <c r="P126" s="101" t="s">
        <v>539</v>
      </c>
      <c r="Q126" s="101" t="s">
        <v>644</v>
      </c>
      <c r="R126" s="101"/>
      <c r="S126" s="101"/>
      <c r="T126" s="101"/>
      <c r="U126" s="101"/>
      <c r="V126" s="101" t="s">
        <v>40</v>
      </c>
      <c r="W126" s="101">
        <v>4501501</v>
      </c>
      <c r="X126" t="str">
        <f t="shared" si="1"/>
        <v>Others</v>
      </c>
      <c r="Y126">
        <v>2600</v>
      </c>
    </row>
    <row r="127" spans="1:25" hidden="1">
      <c r="A127" s="101"/>
      <c r="B127" s="101">
        <v>20260416</v>
      </c>
      <c r="C127" s="101">
        <v>1900000613</v>
      </c>
      <c r="D127" s="101" t="s">
        <v>534</v>
      </c>
      <c r="E127" s="101" t="s">
        <v>535</v>
      </c>
      <c r="F127" s="101" t="s">
        <v>530</v>
      </c>
      <c r="G127" s="101">
        <v>40</v>
      </c>
      <c r="H127" s="101">
        <v>100</v>
      </c>
      <c r="I127" s="101" t="s">
        <v>193</v>
      </c>
      <c r="J127" s="101">
        <v>1</v>
      </c>
      <c r="K127" s="101"/>
      <c r="L127" s="101" t="s">
        <v>645</v>
      </c>
      <c r="M127" s="101"/>
      <c r="N127" s="101">
        <v>3010</v>
      </c>
      <c r="O127" s="101"/>
      <c r="P127" s="101" t="s">
        <v>539</v>
      </c>
      <c r="Q127" s="101" t="s">
        <v>646</v>
      </c>
      <c r="R127" s="101"/>
      <c r="S127" s="101"/>
      <c r="T127" s="101"/>
      <c r="U127" s="101"/>
      <c r="V127" s="101" t="s">
        <v>40</v>
      </c>
      <c r="W127" s="101">
        <v>4501501</v>
      </c>
      <c r="X127" t="str">
        <f t="shared" si="1"/>
        <v>Others</v>
      </c>
      <c r="Y127">
        <v>77462.28</v>
      </c>
    </row>
    <row r="128" spans="1:25" hidden="1">
      <c r="A128" s="101"/>
      <c r="B128" s="101">
        <v>20260416</v>
      </c>
      <c r="C128" s="101">
        <v>1900000614</v>
      </c>
      <c r="D128" s="101" t="s">
        <v>534</v>
      </c>
      <c r="E128" s="101" t="s">
        <v>535</v>
      </c>
      <c r="F128" s="101" t="s">
        <v>530</v>
      </c>
      <c r="G128" s="101">
        <v>40</v>
      </c>
      <c r="H128" s="101">
        <v>100</v>
      </c>
      <c r="I128" s="101" t="s">
        <v>193</v>
      </c>
      <c r="J128" s="101">
        <v>1</v>
      </c>
      <c r="K128" s="101"/>
      <c r="L128" s="101" t="s">
        <v>647</v>
      </c>
      <c r="M128" s="101"/>
      <c r="N128" s="101">
        <v>3010</v>
      </c>
      <c r="O128" s="101"/>
      <c r="P128" s="101" t="s">
        <v>539</v>
      </c>
      <c r="Q128" s="101" t="s">
        <v>648</v>
      </c>
      <c r="R128" s="101"/>
      <c r="S128" s="101"/>
      <c r="T128" s="101"/>
      <c r="U128" s="101"/>
      <c r="V128" s="101" t="s">
        <v>40</v>
      </c>
      <c r="W128" s="101">
        <v>4501501</v>
      </c>
      <c r="X128" t="str">
        <f t="shared" si="1"/>
        <v>Others</v>
      </c>
      <c r="Y128">
        <v>45037.5</v>
      </c>
    </row>
    <row r="129" spans="1:25" hidden="1">
      <c r="A129" s="101"/>
      <c r="B129" s="101">
        <v>20260416</v>
      </c>
      <c r="C129" s="101">
        <v>1900000615</v>
      </c>
      <c r="D129" s="101" t="s">
        <v>534</v>
      </c>
      <c r="E129" s="101" t="s">
        <v>535</v>
      </c>
      <c r="F129" s="101" t="s">
        <v>530</v>
      </c>
      <c r="G129" s="101">
        <v>40</v>
      </c>
      <c r="H129" s="101">
        <v>100</v>
      </c>
      <c r="I129" s="101" t="s">
        <v>193</v>
      </c>
      <c r="J129" s="101">
        <v>1</v>
      </c>
      <c r="K129" s="101"/>
      <c r="L129" s="101" t="s">
        <v>649</v>
      </c>
      <c r="M129" s="101"/>
      <c r="N129" s="101">
        <v>3010</v>
      </c>
      <c r="O129" s="101"/>
      <c r="P129" s="101" t="s">
        <v>539</v>
      </c>
      <c r="Q129" s="101" t="s">
        <v>650</v>
      </c>
      <c r="R129" s="101"/>
      <c r="S129" s="101"/>
      <c r="T129" s="101"/>
      <c r="U129" s="101"/>
      <c r="V129" s="101" t="s">
        <v>40</v>
      </c>
      <c r="W129" s="101">
        <v>4501501</v>
      </c>
      <c r="X129" t="str">
        <f t="shared" si="1"/>
        <v>Others</v>
      </c>
      <c r="Y129">
        <v>11241</v>
      </c>
    </row>
    <row r="130" spans="1:25" hidden="1">
      <c r="A130" s="101"/>
      <c r="B130" s="101">
        <v>20260416</v>
      </c>
      <c r="C130" s="101">
        <v>1900000626</v>
      </c>
      <c r="D130" s="101" t="s">
        <v>534</v>
      </c>
      <c r="E130" s="101" t="s">
        <v>535</v>
      </c>
      <c r="F130" s="101" t="s">
        <v>530</v>
      </c>
      <c r="G130" s="101">
        <v>40</v>
      </c>
      <c r="H130" s="101">
        <v>100</v>
      </c>
      <c r="I130" s="101" t="s">
        <v>193</v>
      </c>
      <c r="J130" s="101">
        <v>1</v>
      </c>
      <c r="K130" s="101"/>
      <c r="L130" s="101" t="s">
        <v>221</v>
      </c>
      <c r="M130" s="101"/>
      <c r="N130" s="101">
        <v>3010</v>
      </c>
      <c r="O130" s="101"/>
      <c r="P130" s="101" t="s">
        <v>651</v>
      </c>
      <c r="Q130" s="101" t="s">
        <v>583</v>
      </c>
      <c r="R130" s="101"/>
      <c r="S130" s="101"/>
      <c r="T130" s="101"/>
      <c r="U130" s="101"/>
      <c r="V130" s="101" t="s">
        <v>40</v>
      </c>
      <c r="W130" s="101">
        <v>4501501</v>
      </c>
      <c r="X130" t="str">
        <f t="shared" si="1"/>
        <v>LC</v>
      </c>
      <c r="Y130">
        <v>3000</v>
      </c>
    </row>
    <row r="131" spans="1:25" hidden="1">
      <c r="A131" s="101"/>
      <c r="B131" s="101">
        <v>20260416</v>
      </c>
      <c r="C131" s="101">
        <v>1900000645</v>
      </c>
      <c r="D131" s="101" t="s">
        <v>534</v>
      </c>
      <c r="E131" s="101" t="s">
        <v>535</v>
      </c>
      <c r="F131" s="101" t="s">
        <v>530</v>
      </c>
      <c r="G131" s="101">
        <v>40</v>
      </c>
      <c r="H131" s="103">
        <v>4500</v>
      </c>
      <c r="I131" s="101" t="s">
        <v>193</v>
      </c>
      <c r="J131" s="101">
        <v>1</v>
      </c>
      <c r="K131" s="101"/>
      <c r="L131" s="101" t="s">
        <v>122</v>
      </c>
      <c r="M131" s="101"/>
      <c r="N131" s="101">
        <v>3010</v>
      </c>
      <c r="O131" s="101"/>
      <c r="P131" s="101" t="s">
        <v>608</v>
      </c>
      <c r="Q131" s="101" t="s">
        <v>652</v>
      </c>
      <c r="R131" s="101"/>
      <c r="S131" s="101"/>
      <c r="T131" s="101"/>
      <c r="U131" s="101"/>
      <c r="V131" s="101" t="s">
        <v>40</v>
      </c>
      <c r="W131" s="101">
        <v>4501501</v>
      </c>
      <c r="X131" t="str">
        <f t="shared" ref="X131:X194" si="2">VLOOKUP(L131,L:P,5,FALSE)</f>
        <v>LC Sales</v>
      </c>
      <c r="Y131">
        <v>25</v>
      </c>
    </row>
    <row r="132" spans="1:25" hidden="1">
      <c r="A132" s="101"/>
      <c r="B132" s="101">
        <v>20260416</v>
      </c>
      <c r="C132" s="101">
        <v>1900000669</v>
      </c>
      <c r="D132" s="101" t="s">
        <v>534</v>
      </c>
      <c r="E132" s="101" t="s">
        <v>535</v>
      </c>
      <c r="F132" s="101" t="s">
        <v>530</v>
      </c>
      <c r="G132" s="101">
        <v>40</v>
      </c>
      <c r="H132" s="101">
        <v>100</v>
      </c>
      <c r="I132" s="101" t="s">
        <v>193</v>
      </c>
      <c r="J132" s="101">
        <v>1</v>
      </c>
      <c r="K132" s="101"/>
      <c r="L132" s="101" t="s">
        <v>653</v>
      </c>
      <c r="M132" s="101"/>
      <c r="N132" s="101">
        <v>3010</v>
      </c>
      <c r="O132" s="101"/>
      <c r="P132" s="101" t="s">
        <v>651</v>
      </c>
      <c r="Q132" s="101" t="s">
        <v>654</v>
      </c>
      <c r="R132" s="101"/>
      <c r="S132" s="101"/>
      <c r="T132" s="101"/>
      <c r="U132" s="101"/>
      <c r="V132" s="101" t="s">
        <v>40</v>
      </c>
      <c r="W132" s="101">
        <v>4501501</v>
      </c>
      <c r="X132" t="str">
        <f t="shared" si="2"/>
        <v>LC</v>
      </c>
      <c r="Y132">
        <v>2600</v>
      </c>
    </row>
    <row r="133" spans="1:25" hidden="1">
      <c r="A133" s="101"/>
      <c r="B133" s="101">
        <v>20260416</v>
      </c>
      <c r="C133" s="101">
        <v>1900000670</v>
      </c>
      <c r="D133" s="101" t="s">
        <v>534</v>
      </c>
      <c r="E133" s="101" t="s">
        <v>535</v>
      </c>
      <c r="F133" s="101" t="s">
        <v>530</v>
      </c>
      <c r="G133" s="101">
        <v>40</v>
      </c>
      <c r="H133" s="101">
        <v>100</v>
      </c>
      <c r="I133" s="101" t="s">
        <v>193</v>
      </c>
      <c r="J133" s="101">
        <v>1</v>
      </c>
      <c r="K133" s="101"/>
      <c r="L133" s="101" t="s">
        <v>655</v>
      </c>
      <c r="M133" s="101"/>
      <c r="N133" s="101">
        <v>3010</v>
      </c>
      <c r="O133" s="101"/>
      <c r="P133" s="101" t="s">
        <v>651</v>
      </c>
      <c r="Q133" s="101" t="s">
        <v>656</v>
      </c>
      <c r="R133" s="101"/>
      <c r="S133" s="101"/>
      <c r="T133" s="101"/>
      <c r="U133" s="101"/>
      <c r="V133" s="101" t="s">
        <v>40</v>
      </c>
      <c r="W133" s="101">
        <v>4501501</v>
      </c>
      <c r="X133" t="str">
        <f t="shared" si="2"/>
        <v>LC</v>
      </c>
      <c r="Y133">
        <v>2600</v>
      </c>
    </row>
    <row r="134" spans="1:25" hidden="1">
      <c r="A134" s="101"/>
      <c r="B134" s="101">
        <v>20260416</v>
      </c>
      <c r="C134" s="101">
        <v>1900000671</v>
      </c>
      <c r="D134" s="101" t="s">
        <v>534</v>
      </c>
      <c r="E134" s="101" t="s">
        <v>535</v>
      </c>
      <c r="F134" s="101" t="s">
        <v>530</v>
      </c>
      <c r="G134" s="101">
        <v>40</v>
      </c>
      <c r="H134" s="101">
        <v>100</v>
      </c>
      <c r="I134" s="101" t="s">
        <v>193</v>
      </c>
      <c r="J134" s="101">
        <v>1</v>
      </c>
      <c r="K134" s="101"/>
      <c r="L134" s="101" t="s">
        <v>657</v>
      </c>
      <c r="M134" s="101"/>
      <c r="N134" s="101">
        <v>3010</v>
      </c>
      <c r="O134" s="101"/>
      <c r="P134" s="101" t="s">
        <v>651</v>
      </c>
      <c r="Q134" s="101" t="s">
        <v>656</v>
      </c>
      <c r="R134" s="101"/>
      <c r="S134" s="101"/>
      <c r="T134" s="101"/>
      <c r="U134" s="101"/>
      <c r="V134" s="101" t="s">
        <v>40</v>
      </c>
      <c r="W134" s="101">
        <v>4501501</v>
      </c>
      <c r="X134" t="str">
        <f t="shared" si="2"/>
        <v>LC</v>
      </c>
      <c r="Y134">
        <v>654388.47999999998</v>
      </c>
    </row>
    <row r="135" spans="1:25" hidden="1">
      <c r="A135" s="101"/>
      <c r="B135" s="101">
        <v>20260417</v>
      </c>
      <c r="C135" s="101">
        <v>100000415</v>
      </c>
      <c r="D135" s="101" t="s">
        <v>534</v>
      </c>
      <c r="E135" s="101" t="s">
        <v>522</v>
      </c>
      <c r="F135" s="101" t="s">
        <v>658</v>
      </c>
      <c r="G135" s="101">
        <v>40</v>
      </c>
      <c r="H135" s="101">
        <v>590</v>
      </c>
      <c r="I135" s="101" t="s">
        <v>193</v>
      </c>
      <c r="J135" s="101"/>
      <c r="K135" s="101"/>
      <c r="L135" s="101" t="s">
        <v>659</v>
      </c>
      <c r="M135" s="101"/>
      <c r="N135" s="101">
        <v>3010</v>
      </c>
      <c r="O135" s="101"/>
      <c r="P135" s="101" t="s">
        <v>539</v>
      </c>
      <c r="Q135" s="101" t="s">
        <v>660</v>
      </c>
      <c r="R135" s="101"/>
      <c r="S135" s="101"/>
      <c r="T135" s="101"/>
      <c r="U135" s="101"/>
      <c r="V135" s="101" t="s">
        <v>40</v>
      </c>
      <c r="W135" s="101">
        <v>4501501</v>
      </c>
      <c r="X135" t="str">
        <f t="shared" si="2"/>
        <v>Others</v>
      </c>
      <c r="Y135">
        <v>101756.49</v>
      </c>
    </row>
    <row r="136" spans="1:25" hidden="1">
      <c r="A136" s="101"/>
      <c r="B136" s="101">
        <v>20260417</v>
      </c>
      <c r="C136" s="101">
        <v>100000544</v>
      </c>
      <c r="D136" s="101" t="s">
        <v>521</v>
      </c>
      <c r="E136" s="101" t="s">
        <v>522</v>
      </c>
      <c r="F136" s="101" t="s">
        <v>658</v>
      </c>
      <c r="G136" s="101">
        <v>40</v>
      </c>
      <c r="H136" s="103">
        <v>11233</v>
      </c>
      <c r="I136" s="101" t="s">
        <v>193</v>
      </c>
      <c r="J136" s="101"/>
      <c r="K136" s="101"/>
      <c r="L136" s="101" t="s">
        <v>257</v>
      </c>
      <c r="M136" s="101"/>
      <c r="N136" s="101">
        <v>1021</v>
      </c>
      <c r="O136" s="101"/>
      <c r="P136" s="101" t="s">
        <v>523</v>
      </c>
      <c r="Q136" s="101" t="s">
        <v>661</v>
      </c>
      <c r="R136" s="101"/>
      <c r="S136" s="101"/>
      <c r="T136" s="101"/>
      <c r="U136" s="101"/>
      <c r="V136" s="101" t="s">
        <v>40</v>
      </c>
      <c r="W136" s="101">
        <v>4501501</v>
      </c>
      <c r="X136" t="str">
        <f t="shared" si="2"/>
        <v>Retirement Chgs</v>
      </c>
      <c r="Y136">
        <v>5.9</v>
      </c>
    </row>
    <row r="137" spans="1:25" hidden="1">
      <c r="A137" s="101"/>
      <c r="B137" s="101">
        <v>20260417</v>
      </c>
      <c r="C137" s="101">
        <v>1900000338</v>
      </c>
      <c r="D137" s="101" t="s">
        <v>521</v>
      </c>
      <c r="E137" s="101" t="s">
        <v>535</v>
      </c>
      <c r="F137" s="101" t="s">
        <v>658</v>
      </c>
      <c r="G137" s="101">
        <v>40</v>
      </c>
      <c r="H137" s="103">
        <v>1783.77</v>
      </c>
      <c r="I137" s="101" t="s">
        <v>193</v>
      </c>
      <c r="J137" s="101">
        <v>13</v>
      </c>
      <c r="K137" s="101"/>
      <c r="L137" s="101" t="s">
        <v>637</v>
      </c>
      <c r="M137" s="101"/>
      <c r="N137" s="101">
        <v>1021</v>
      </c>
      <c r="O137" s="101"/>
      <c r="P137" s="101" t="s">
        <v>539</v>
      </c>
      <c r="Q137" s="101" t="s">
        <v>662</v>
      </c>
      <c r="R137" s="101"/>
      <c r="S137" s="101"/>
      <c r="T137" s="101"/>
      <c r="U137" s="101"/>
      <c r="V137" s="101" t="s">
        <v>40</v>
      </c>
      <c r="W137" s="101">
        <v>4501501</v>
      </c>
      <c r="X137" t="str">
        <f t="shared" si="2"/>
        <v>Others</v>
      </c>
      <c r="Y137">
        <v>2202.5</v>
      </c>
    </row>
    <row r="138" spans="1:25" hidden="1">
      <c r="A138" s="101"/>
      <c r="B138" s="101">
        <v>20260417</v>
      </c>
      <c r="C138" s="101">
        <v>1900000339</v>
      </c>
      <c r="D138" s="101" t="s">
        <v>521</v>
      </c>
      <c r="E138" s="101" t="s">
        <v>535</v>
      </c>
      <c r="F138" s="101" t="s">
        <v>658</v>
      </c>
      <c r="G138" s="101">
        <v>40</v>
      </c>
      <c r="H138" s="101">
        <v>301.22000000000003</v>
      </c>
      <c r="I138" s="101" t="s">
        <v>193</v>
      </c>
      <c r="J138" s="101">
        <v>13</v>
      </c>
      <c r="K138" s="101"/>
      <c r="L138" s="101" t="s">
        <v>635</v>
      </c>
      <c r="M138" s="101"/>
      <c r="N138" s="101">
        <v>1021</v>
      </c>
      <c r="O138" s="101"/>
      <c r="P138" s="101" t="s">
        <v>539</v>
      </c>
      <c r="Q138" s="101" t="s">
        <v>663</v>
      </c>
      <c r="R138" s="101"/>
      <c r="S138" s="101"/>
      <c r="T138" s="101"/>
      <c r="U138" s="101"/>
      <c r="V138" s="101" t="s">
        <v>40</v>
      </c>
      <c r="W138" s="101">
        <v>4501501</v>
      </c>
      <c r="X138" t="str">
        <f t="shared" si="2"/>
        <v>Others</v>
      </c>
      <c r="Y138">
        <v>5378.66</v>
      </c>
    </row>
    <row r="139" spans="1:25" hidden="1">
      <c r="A139" s="101"/>
      <c r="B139" s="101">
        <v>20260417</v>
      </c>
      <c r="C139" s="101">
        <v>1900000340</v>
      </c>
      <c r="D139" s="101" t="s">
        <v>521</v>
      </c>
      <c r="E139" s="101" t="s">
        <v>535</v>
      </c>
      <c r="F139" s="101" t="s">
        <v>658</v>
      </c>
      <c r="G139" s="101">
        <v>40</v>
      </c>
      <c r="H139" s="101">
        <v>135.82</v>
      </c>
      <c r="I139" s="101" t="s">
        <v>193</v>
      </c>
      <c r="J139" s="101">
        <v>13</v>
      </c>
      <c r="K139" s="101"/>
      <c r="L139" s="101" t="s">
        <v>664</v>
      </c>
      <c r="M139" s="101"/>
      <c r="N139" s="101">
        <v>1021</v>
      </c>
      <c r="O139" s="101"/>
      <c r="P139" s="101" t="s">
        <v>539</v>
      </c>
      <c r="Q139" s="101" t="s">
        <v>665</v>
      </c>
      <c r="R139" s="101"/>
      <c r="S139" s="101"/>
      <c r="T139" s="101"/>
      <c r="U139" s="101"/>
      <c r="V139" s="101" t="s">
        <v>40</v>
      </c>
      <c r="W139" s="101">
        <v>4501501</v>
      </c>
      <c r="X139" t="str">
        <f t="shared" si="2"/>
        <v>Others</v>
      </c>
      <c r="Y139">
        <v>5817.8200000000006</v>
      </c>
    </row>
    <row r="140" spans="1:25" hidden="1">
      <c r="A140" s="101"/>
      <c r="B140" s="101">
        <v>20260417</v>
      </c>
      <c r="C140" s="101">
        <v>1900000627</v>
      </c>
      <c r="D140" s="101" t="s">
        <v>534</v>
      </c>
      <c r="E140" s="101" t="s">
        <v>535</v>
      </c>
      <c r="F140" s="101" t="s">
        <v>658</v>
      </c>
      <c r="G140" s="101">
        <v>40</v>
      </c>
      <c r="H140" s="101">
        <v>100</v>
      </c>
      <c r="I140" s="101" t="s">
        <v>193</v>
      </c>
      <c r="J140" s="101">
        <v>1</v>
      </c>
      <c r="K140" s="101"/>
      <c r="L140" s="101" t="s">
        <v>223</v>
      </c>
      <c r="M140" s="101"/>
      <c r="N140" s="101">
        <v>3010</v>
      </c>
      <c r="O140" s="101"/>
      <c r="P140" s="101" t="s">
        <v>651</v>
      </c>
      <c r="Q140" s="101" t="s">
        <v>583</v>
      </c>
      <c r="R140" s="101"/>
      <c r="S140" s="101"/>
      <c r="T140" s="101"/>
      <c r="U140" s="101"/>
      <c r="V140" s="101" t="s">
        <v>40</v>
      </c>
      <c r="W140" s="101">
        <v>4501501</v>
      </c>
      <c r="X140" t="str">
        <f t="shared" si="2"/>
        <v>LC</v>
      </c>
      <c r="Y140">
        <v>18533.740000000002</v>
      </c>
    </row>
    <row r="141" spans="1:25" hidden="1">
      <c r="A141" s="101"/>
      <c r="B141" s="101">
        <v>20260417</v>
      </c>
      <c r="C141" s="101">
        <v>1900000633</v>
      </c>
      <c r="D141" s="101" t="s">
        <v>534</v>
      </c>
      <c r="E141" s="101" t="s">
        <v>535</v>
      </c>
      <c r="F141" s="101" t="s">
        <v>658</v>
      </c>
      <c r="G141" s="101">
        <v>40</v>
      </c>
      <c r="H141" s="103">
        <v>4500</v>
      </c>
      <c r="I141" s="101" t="s">
        <v>193</v>
      </c>
      <c r="J141" s="101">
        <v>1</v>
      </c>
      <c r="K141" s="101"/>
      <c r="L141" s="101" t="s">
        <v>185</v>
      </c>
      <c r="M141" s="101"/>
      <c r="N141" s="101">
        <v>3010</v>
      </c>
      <c r="O141" s="101"/>
      <c r="P141" s="101" t="s">
        <v>666</v>
      </c>
      <c r="Q141" s="101" t="s">
        <v>667</v>
      </c>
      <c r="R141" s="101"/>
      <c r="S141" s="101"/>
      <c r="T141" s="101"/>
      <c r="U141" s="101"/>
      <c r="V141" s="101" t="s">
        <v>40</v>
      </c>
      <c r="W141" s="101">
        <v>4501501</v>
      </c>
      <c r="X141" t="str">
        <f t="shared" si="2"/>
        <v>sales</v>
      </c>
      <c r="Y141">
        <v>80129.11</v>
      </c>
    </row>
    <row r="142" spans="1:25" hidden="1">
      <c r="A142" s="101"/>
      <c r="B142" s="101">
        <v>20260417</v>
      </c>
      <c r="C142" s="101">
        <v>1900000634</v>
      </c>
      <c r="D142" s="101" t="s">
        <v>534</v>
      </c>
      <c r="E142" s="101" t="s">
        <v>535</v>
      </c>
      <c r="F142" s="101" t="s">
        <v>658</v>
      </c>
      <c r="G142" s="101">
        <v>40</v>
      </c>
      <c r="H142" s="103">
        <v>4500</v>
      </c>
      <c r="I142" s="101" t="s">
        <v>193</v>
      </c>
      <c r="J142" s="101">
        <v>1</v>
      </c>
      <c r="K142" s="101"/>
      <c r="L142" s="101" t="s">
        <v>186</v>
      </c>
      <c r="M142" s="101"/>
      <c r="N142" s="101">
        <v>3010</v>
      </c>
      <c r="O142" s="101"/>
      <c r="P142" s="101" t="s">
        <v>523</v>
      </c>
      <c r="Q142" s="101" t="s">
        <v>668</v>
      </c>
      <c r="R142" s="101"/>
      <c r="S142" s="101"/>
      <c r="T142" s="101"/>
      <c r="U142" s="101"/>
      <c r="V142" s="101" t="s">
        <v>40</v>
      </c>
      <c r="W142" s="101">
        <v>4501501</v>
      </c>
      <c r="X142" t="str">
        <f t="shared" si="2"/>
        <v>Retirement Chgs</v>
      </c>
      <c r="Y142">
        <v>80557.289999999994</v>
      </c>
    </row>
    <row r="143" spans="1:25" hidden="1">
      <c r="A143" s="101"/>
      <c r="B143" s="101">
        <v>20260417</v>
      </c>
      <c r="C143" s="101">
        <v>1900000641</v>
      </c>
      <c r="D143" s="101" t="s">
        <v>534</v>
      </c>
      <c r="E143" s="101" t="s">
        <v>535</v>
      </c>
      <c r="F143" s="101" t="s">
        <v>658</v>
      </c>
      <c r="G143" s="101">
        <v>40</v>
      </c>
      <c r="H143" s="101">
        <v>500</v>
      </c>
      <c r="I143" s="101" t="s">
        <v>193</v>
      </c>
      <c r="J143" s="101">
        <v>1</v>
      </c>
      <c r="K143" s="101"/>
      <c r="L143" s="101" t="s">
        <v>262</v>
      </c>
      <c r="M143" s="101"/>
      <c r="N143" s="101">
        <v>3010</v>
      </c>
      <c r="O143" s="101"/>
      <c r="P143" s="101" t="s">
        <v>669</v>
      </c>
      <c r="Q143" s="101" t="s">
        <v>583</v>
      </c>
      <c r="R143" s="101"/>
      <c r="S143" s="101"/>
      <c r="T143" s="101"/>
      <c r="U143" s="101"/>
      <c r="V143" s="101" t="s">
        <v>40</v>
      </c>
      <c r="W143" s="101">
        <v>4501501</v>
      </c>
      <c r="X143" t="str">
        <f t="shared" si="2"/>
        <v xml:space="preserve">LC </v>
      </c>
      <c r="Y143">
        <v>6326.24</v>
      </c>
    </row>
    <row r="144" spans="1:25" hidden="1">
      <c r="A144" s="101"/>
      <c r="B144" s="101">
        <v>20260417</v>
      </c>
      <c r="C144" s="101">
        <v>1900000652</v>
      </c>
      <c r="D144" s="101" t="s">
        <v>534</v>
      </c>
      <c r="E144" s="101" t="s">
        <v>535</v>
      </c>
      <c r="F144" s="101" t="s">
        <v>658</v>
      </c>
      <c r="G144" s="101">
        <v>40</v>
      </c>
      <c r="H144" s="103">
        <v>3000</v>
      </c>
      <c r="I144" s="101" t="s">
        <v>193</v>
      </c>
      <c r="J144" s="101">
        <v>1</v>
      </c>
      <c r="K144" s="101"/>
      <c r="L144" s="101" t="s">
        <v>670</v>
      </c>
      <c r="M144" s="101"/>
      <c r="N144" s="101">
        <v>3010</v>
      </c>
      <c r="O144" s="101"/>
      <c r="P144" s="101" t="s">
        <v>539</v>
      </c>
      <c r="Q144" s="101" t="s">
        <v>671</v>
      </c>
      <c r="R144" s="101"/>
      <c r="S144" s="101"/>
      <c r="T144" s="101"/>
      <c r="U144" s="101"/>
      <c r="V144" s="101" t="s">
        <v>40</v>
      </c>
      <c r="W144" s="101">
        <v>4501501</v>
      </c>
      <c r="X144" t="str">
        <f t="shared" si="2"/>
        <v>Others</v>
      </c>
      <c r="Y144">
        <v>51936.159999999996</v>
      </c>
    </row>
    <row r="145" spans="1:25" hidden="1">
      <c r="A145" s="101"/>
      <c r="B145" s="101">
        <v>20260418</v>
      </c>
      <c r="C145" s="101">
        <v>1900000538</v>
      </c>
      <c r="D145" s="101" t="s">
        <v>534</v>
      </c>
      <c r="E145" s="101" t="s">
        <v>535</v>
      </c>
      <c r="F145" s="101" t="s">
        <v>672</v>
      </c>
      <c r="G145" s="101">
        <v>40</v>
      </c>
      <c r="H145" s="101">
        <v>25</v>
      </c>
      <c r="I145" s="101" t="s">
        <v>193</v>
      </c>
      <c r="J145" s="101">
        <v>1</v>
      </c>
      <c r="K145" s="101"/>
      <c r="L145" s="101" t="s">
        <v>673</v>
      </c>
      <c r="M145" s="101"/>
      <c r="N145" s="101">
        <v>3010</v>
      </c>
      <c r="O145" s="101"/>
      <c r="P145" s="101" t="s">
        <v>539</v>
      </c>
      <c r="Q145" s="101" t="s">
        <v>674</v>
      </c>
      <c r="R145" s="101"/>
      <c r="S145" s="101"/>
      <c r="T145" s="101"/>
      <c r="U145" s="101"/>
      <c r="V145" s="101" t="s">
        <v>40</v>
      </c>
      <c r="W145" s="101">
        <v>4501501</v>
      </c>
      <c r="X145" t="str">
        <f t="shared" si="2"/>
        <v>Others</v>
      </c>
      <c r="Y145">
        <v>18055.45</v>
      </c>
    </row>
    <row r="146" spans="1:25" hidden="1">
      <c r="A146" s="101"/>
      <c r="B146" s="101">
        <v>20260418</v>
      </c>
      <c r="C146" s="101">
        <v>1900000623</v>
      </c>
      <c r="D146" s="101" t="s">
        <v>534</v>
      </c>
      <c r="E146" s="101" t="s">
        <v>535</v>
      </c>
      <c r="F146" s="101" t="s">
        <v>672</v>
      </c>
      <c r="G146" s="101">
        <v>40</v>
      </c>
      <c r="H146" s="101">
        <v>100</v>
      </c>
      <c r="I146" s="101" t="s">
        <v>193</v>
      </c>
      <c r="J146" s="101">
        <v>1</v>
      </c>
      <c r="K146" s="101"/>
      <c r="L146" s="101" t="s">
        <v>224</v>
      </c>
      <c r="M146" s="101"/>
      <c r="N146" s="101">
        <v>3010</v>
      </c>
      <c r="O146" s="101"/>
      <c r="P146" s="101" t="s">
        <v>651</v>
      </c>
      <c r="Q146" s="101" t="s">
        <v>583</v>
      </c>
      <c r="R146" s="101"/>
      <c r="S146" s="101"/>
      <c r="T146" s="101"/>
      <c r="U146" s="101"/>
      <c r="V146" s="101" t="s">
        <v>40</v>
      </c>
      <c r="W146" s="101">
        <v>4501501</v>
      </c>
      <c r="X146" t="str">
        <f t="shared" si="2"/>
        <v>LC</v>
      </c>
      <c r="Y146">
        <v>610.87</v>
      </c>
    </row>
    <row r="147" spans="1:25" hidden="1">
      <c r="A147" s="101"/>
      <c r="B147" s="101">
        <v>20260418</v>
      </c>
      <c r="C147" s="101">
        <v>1900000624</v>
      </c>
      <c r="D147" s="101" t="s">
        <v>534</v>
      </c>
      <c r="E147" s="101" t="s">
        <v>535</v>
      </c>
      <c r="F147" s="101" t="s">
        <v>672</v>
      </c>
      <c r="G147" s="101">
        <v>40</v>
      </c>
      <c r="H147" s="101">
        <v>100</v>
      </c>
      <c r="I147" s="101" t="s">
        <v>193</v>
      </c>
      <c r="J147" s="101">
        <v>1</v>
      </c>
      <c r="K147" s="101"/>
      <c r="L147" s="101" t="s">
        <v>225</v>
      </c>
      <c r="M147" s="101"/>
      <c r="N147" s="101">
        <v>3010</v>
      </c>
      <c r="O147" s="101"/>
      <c r="P147" s="101" t="s">
        <v>651</v>
      </c>
      <c r="Q147" s="101" t="s">
        <v>583</v>
      </c>
      <c r="R147" s="101"/>
      <c r="S147" s="101"/>
      <c r="T147" s="101"/>
      <c r="U147" s="101"/>
      <c r="V147" s="101" t="s">
        <v>40</v>
      </c>
      <c r="W147" s="101">
        <v>4501501</v>
      </c>
      <c r="X147" t="str">
        <f t="shared" si="2"/>
        <v>LC</v>
      </c>
      <c r="Y147">
        <v>610.87</v>
      </c>
    </row>
    <row r="148" spans="1:25" hidden="1">
      <c r="A148" s="101"/>
      <c r="B148" s="101">
        <v>20260418</v>
      </c>
      <c r="C148" s="101">
        <v>1900000666</v>
      </c>
      <c r="D148" s="101" t="s">
        <v>534</v>
      </c>
      <c r="E148" s="101" t="s">
        <v>535</v>
      </c>
      <c r="F148" s="101" t="s">
        <v>672</v>
      </c>
      <c r="G148" s="101">
        <v>40</v>
      </c>
      <c r="H148" s="103">
        <v>1000</v>
      </c>
      <c r="I148" s="101" t="s">
        <v>193</v>
      </c>
      <c r="J148" s="101">
        <v>1</v>
      </c>
      <c r="K148" s="101"/>
      <c r="L148" s="101" t="s">
        <v>378</v>
      </c>
      <c r="M148" s="36" t="s">
        <v>379</v>
      </c>
      <c r="N148" s="101">
        <v>3010</v>
      </c>
      <c r="O148" s="101"/>
      <c r="P148" s="101" t="s">
        <v>536</v>
      </c>
      <c r="Q148" s="101" t="s">
        <v>542</v>
      </c>
      <c r="R148" s="101"/>
      <c r="S148" s="101"/>
      <c r="T148" s="101"/>
      <c r="U148" s="101"/>
      <c r="V148" s="101" t="s">
        <v>40</v>
      </c>
      <c r="W148" s="101">
        <v>4501501</v>
      </c>
      <c r="X148" t="str">
        <f t="shared" si="2"/>
        <v>LC Chgs</v>
      </c>
      <c r="Y148">
        <v>2202.5</v>
      </c>
    </row>
    <row r="149" spans="1:25" hidden="1">
      <c r="A149" s="101"/>
      <c r="B149" s="101">
        <v>20260420</v>
      </c>
      <c r="C149" s="101">
        <v>100000541</v>
      </c>
      <c r="D149" s="101" t="s">
        <v>521</v>
      </c>
      <c r="E149" s="101" t="s">
        <v>522</v>
      </c>
      <c r="F149" s="101" t="s">
        <v>675</v>
      </c>
      <c r="G149" s="101">
        <v>40</v>
      </c>
      <c r="H149" s="103">
        <v>101756.49</v>
      </c>
      <c r="I149" s="101" t="s">
        <v>193</v>
      </c>
      <c r="J149" s="101"/>
      <c r="K149" s="101"/>
      <c r="L149" s="101" t="s">
        <v>250</v>
      </c>
      <c r="M149" s="101"/>
      <c r="N149" s="101">
        <v>1021</v>
      </c>
      <c r="O149" s="101"/>
      <c r="P149" s="101" t="s">
        <v>523</v>
      </c>
      <c r="Q149" s="101" t="s">
        <v>676</v>
      </c>
      <c r="R149" s="101"/>
      <c r="S149" s="101"/>
      <c r="T149" s="101"/>
      <c r="U149" s="101"/>
      <c r="V149" s="101" t="s">
        <v>40</v>
      </c>
      <c r="W149" s="101">
        <v>4501501</v>
      </c>
      <c r="X149" t="str">
        <f t="shared" si="2"/>
        <v>Retirement Chgs</v>
      </c>
      <c r="Y149">
        <v>2202.5</v>
      </c>
    </row>
    <row r="150" spans="1:25" hidden="1">
      <c r="A150" s="101"/>
      <c r="B150" s="101">
        <v>20260420</v>
      </c>
      <c r="C150" s="101">
        <v>1500000307</v>
      </c>
      <c r="D150" s="101" t="s">
        <v>677</v>
      </c>
      <c r="E150" s="101" t="s">
        <v>605</v>
      </c>
      <c r="F150" s="101" t="s">
        <v>675</v>
      </c>
      <c r="G150" s="101">
        <v>40</v>
      </c>
      <c r="H150" s="101">
        <v>5.9</v>
      </c>
      <c r="I150" s="101" t="s">
        <v>193</v>
      </c>
      <c r="J150" s="101"/>
      <c r="K150" s="101"/>
      <c r="L150" s="101" t="s">
        <v>678</v>
      </c>
      <c r="M150" s="101"/>
      <c r="N150" s="101">
        <v>5010</v>
      </c>
      <c r="O150" s="101"/>
      <c r="P150" s="101" t="s">
        <v>539</v>
      </c>
      <c r="Q150" s="101" t="s">
        <v>679</v>
      </c>
      <c r="R150" s="101"/>
      <c r="S150" s="101"/>
      <c r="T150" s="101"/>
      <c r="U150" s="101"/>
      <c r="V150" s="101" t="s">
        <v>40</v>
      </c>
      <c r="W150" s="101">
        <v>4501501</v>
      </c>
      <c r="X150" t="str">
        <f t="shared" si="2"/>
        <v>Others</v>
      </c>
      <c r="Y150">
        <v>61503.93</v>
      </c>
    </row>
    <row r="151" spans="1:25" hidden="1">
      <c r="A151" s="101"/>
      <c r="B151" s="101">
        <v>20260420</v>
      </c>
      <c r="C151" s="101">
        <v>1900000148</v>
      </c>
      <c r="D151" s="101" t="s">
        <v>534</v>
      </c>
      <c r="E151" s="101" t="s">
        <v>535</v>
      </c>
      <c r="F151" s="101" t="s">
        <v>675</v>
      </c>
      <c r="G151" s="101">
        <v>40</v>
      </c>
      <c r="H151" s="101">
        <v>49.5</v>
      </c>
      <c r="I151" s="101" t="s">
        <v>193</v>
      </c>
      <c r="J151" s="101">
        <v>13</v>
      </c>
      <c r="K151" s="101"/>
      <c r="L151" s="101" t="s">
        <v>538</v>
      </c>
      <c r="M151" s="101"/>
      <c r="N151" s="101">
        <v>3010</v>
      </c>
      <c r="O151" s="101"/>
      <c r="P151" s="101" t="s">
        <v>539</v>
      </c>
      <c r="Q151" s="101" t="s">
        <v>538</v>
      </c>
      <c r="R151" s="101"/>
      <c r="S151" s="101"/>
      <c r="T151" s="101"/>
      <c r="U151" s="101"/>
      <c r="V151" s="101" t="s">
        <v>40</v>
      </c>
      <c r="W151" s="101">
        <v>4501501</v>
      </c>
      <c r="X151" t="str">
        <f t="shared" si="2"/>
        <v>Others</v>
      </c>
      <c r="Y151">
        <v>15316.72</v>
      </c>
    </row>
    <row r="152" spans="1:25" hidden="1">
      <c r="A152" s="101"/>
      <c r="B152" s="101">
        <v>20260420</v>
      </c>
      <c r="C152" s="101">
        <v>1900000341</v>
      </c>
      <c r="D152" s="101" t="s">
        <v>521</v>
      </c>
      <c r="E152" s="101" t="s">
        <v>535</v>
      </c>
      <c r="F152" s="101" t="s">
        <v>675</v>
      </c>
      <c r="G152" s="101">
        <v>40</v>
      </c>
      <c r="H152" s="101">
        <v>153.68</v>
      </c>
      <c r="I152" s="101" t="s">
        <v>193</v>
      </c>
      <c r="J152" s="101">
        <v>13</v>
      </c>
      <c r="K152" s="101"/>
      <c r="L152" s="101" t="s">
        <v>680</v>
      </c>
      <c r="M152" s="101"/>
      <c r="N152" s="101">
        <v>1021</v>
      </c>
      <c r="O152" s="101"/>
      <c r="P152" s="101" t="s">
        <v>539</v>
      </c>
      <c r="Q152" s="101" t="s">
        <v>681</v>
      </c>
      <c r="R152" s="101"/>
      <c r="S152" s="101"/>
      <c r="T152" s="101"/>
      <c r="U152" s="101"/>
      <c r="V152" s="101" t="s">
        <v>40</v>
      </c>
      <c r="W152" s="101">
        <v>4501501</v>
      </c>
      <c r="X152" t="str">
        <f t="shared" si="2"/>
        <v>Others</v>
      </c>
      <c r="Y152">
        <v>111815.76</v>
      </c>
    </row>
    <row r="153" spans="1:25" hidden="1">
      <c r="A153" s="101"/>
      <c r="B153" s="101">
        <v>20260420</v>
      </c>
      <c r="C153" s="101">
        <v>1900000342</v>
      </c>
      <c r="D153" s="101" t="s">
        <v>521</v>
      </c>
      <c r="E153" s="101" t="s">
        <v>535</v>
      </c>
      <c r="F153" s="101" t="s">
        <v>675</v>
      </c>
      <c r="G153" s="101">
        <v>40</v>
      </c>
      <c r="H153" s="101">
        <v>166.22</v>
      </c>
      <c r="I153" s="101" t="s">
        <v>193</v>
      </c>
      <c r="J153" s="101">
        <v>13</v>
      </c>
      <c r="K153" s="101"/>
      <c r="L153" s="101" t="s">
        <v>682</v>
      </c>
      <c r="M153" s="101"/>
      <c r="N153" s="101">
        <v>1021</v>
      </c>
      <c r="O153" s="101"/>
      <c r="P153" s="101" t="s">
        <v>539</v>
      </c>
      <c r="Q153" s="101" t="s">
        <v>683</v>
      </c>
      <c r="R153" s="101"/>
      <c r="S153" s="101"/>
      <c r="T153" s="101"/>
      <c r="U153" s="101"/>
      <c r="V153" s="101" t="s">
        <v>40</v>
      </c>
      <c r="W153" s="101">
        <v>4501501</v>
      </c>
      <c r="X153" t="str">
        <f t="shared" si="2"/>
        <v>Others</v>
      </c>
      <c r="Y153">
        <v>123052.18</v>
      </c>
    </row>
    <row r="154" spans="1:25" hidden="1">
      <c r="A154" s="101"/>
      <c r="B154" s="101">
        <v>20260420</v>
      </c>
      <c r="C154" s="101">
        <v>1900000343</v>
      </c>
      <c r="D154" s="101" t="s">
        <v>521</v>
      </c>
      <c r="E154" s="101" t="s">
        <v>535</v>
      </c>
      <c r="F154" s="101" t="s">
        <v>675</v>
      </c>
      <c r="G154" s="101">
        <v>40</v>
      </c>
      <c r="H154" s="101">
        <v>529.54</v>
      </c>
      <c r="I154" s="101" t="s">
        <v>193</v>
      </c>
      <c r="J154" s="101">
        <v>13</v>
      </c>
      <c r="K154" s="101"/>
      <c r="L154" s="101" t="s">
        <v>684</v>
      </c>
      <c r="M154" s="101"/>
      <c r="N154" s="101">
        <v>1021</v>
      </c>
      <c r="O154" s="101"/>
      <c r="P154" s="101" t="s">
        <v>539</v>
      </c>
      <c r="Q154" s="101" t="s">
        <v>685</v>
      </c>
      <c r="R154" s="101"/>
      <c r="S154" s="101"/>
      <c r="T154" s="101"/>
      <c r="U154" s="101"/>
      <c r="V154" s="101" t="s">
        <v>40</v>
      </c>
      <c r="W154" s="101">
        <v>4501501</v>
      </c>
      <c r="X154" t="str">
        <f t="shared" si="2"/>
        <v>Others</v>
      </c>
      <c r="Y154">
        <v>85276.39</v>
      </c>
    </row>
    <row r="155" spans="1:25" hidden="1">
      <c r="A155" s="101"/>
      <c r="B155" s="101">
        <v>20260420</v>
      </c>
      <c r="C155" s="101">
        <v>1900000344</v>
      </c>
      <c r="D155" s="101" t="s">
        <v>521</v>
      </c>
      <c r="E155" s="101" t="s">
        <v>535</v>
      </c>
      <c r="F155" s="101" t="s">
        <v>675</v>
      </c>
      <c r="G155" s="101">
        <v>40</v>
      </c>
      <c r="H155" s="103">
        <v>2289.4</v>
      </c>
      <c r="I155" s="101" t="s">
        <v>193</v>
      </c>
      <c r="J155" s="101">
        <v>13</v>
      </c>
      <c r="K155" s="101"/>
      <c r="L155" s="101" t="s">
        <v>686</v>
      </c>
      <c r="M155" s="101"/>
      <c r="N155" s="101">
        <v>1021</v>
      </c>
      <c r="O155" s="101"/>
      <c r="P155" s="101" t="s">
        <v>539</v>
      </c>
      <c r="Q155" s="101" t="s">
        <v>687</v>
      </c>
      <c r="R155" s="101"/>
      <c r="S155" s="101"/>
      <c r="T155" s="101"/>
      <c r="U155" s="101"/>
      <c r="V155" s="101" t="s">
        <v>40</v>
      </c>
      <c r="W155" s="101">
        <v>4501501</v>
      </c>
      <c r="X155" t="str">
        <f t="shared" si="2"/>
        <v>Others</v>
      </c>
      <c r="Y155">
        <v>76775.11</v>
      </c>
    </row>
    <row r="156" spans="1:25" hidden="1">
      <c r="A156" s="101"/>
      <c r="B156" s="101">
        <v>20260420</v>
      </c>
      <c r="C156" s="101">
        <v>1900000346</v>
      </c>
      <c r="D156" s="101" t="s">
        <v>521</v>
      </c>
      <c r="E156" s="101" t="s">
        <v>535</v>
      </c>
      <c r="F156" s="101" t="s">
        <v>675</v>
      </c>
      <c r="G156" s="101">
        <v>40</v>
      </c>
      <c r="H156" s="103">
        <v>2301.64</v>
      </c>
      <c r="I156" s="101" t="s">
        <v>193</v>
      </c>
      <c r="J156" s="101">
        <v>13</v>
      </c>
      <c r="K156" s="101"/>
      <c r="L156" s="101" t="s">
        <v>688</v>
      </c>
      <c r="M156" s="101"/>
      <c r="N156" s="101">
        <v>1021</v>
      </c>
      <c r="O156" s="101"/>
      <c r="P156" s="101" t="s">
        <v>539</v>
      </c>
      <c r="Q156" s="101" t="s">
        <v>689</v>
      </c>
      <c r="R156" s="101"/>
      <c r="S156" s="101"/>
      <c r="T156" s="101"/>
      <c r="U156" s="101"/>
      <c r="V156" s="101" t="s">
        <v>40</v>
      </c>
      <c r="W156" s="101">
        <v>4501501</v>
      </c>
      <c r="X156" t="str">
        <f t="shared" si="2"/>
        <v>Others</v>
      </c>
      <c r="Y156">
        <v>2600</v>
      </c>
    </row>
    <row r="157" spans="1:25" hidden="1">
      <c r="A157" s="101"/>
      <c r="B157" s="101">
        <v>20260420</v>
      </c>
      <c r="C157" s="101">
        <v>1900000347</v>
      </c>
      <c r="D157" s="101" t="s">
        <v>521</v>
      </c>
      <c r="E157" s="101" t="s">
        <v>535</v>
      </c>
      <c r="F157" s="101" t="s">
        <v>675</v>
      </c>
      <c r="G157" s="101">
        <v>40</v>
      </c>
      <c r="H157" s="101">
        <v>180.75</v>
      </c>
      <c r="I157" s="101" t="s">
        <v>193</v>
      </c>
      <c r="J157" s="101">
        <v>13</v>
      </c>
      <c r="K157" s="101"/>
      <c r="L157" s="101" t="s">
        <v>690</v>
      </c>
      <c r="M157" s="101"/>
      <c r="N157" s="101">
        <v>1021</v>
      </c>
      <c r="O157" s="101"/>
      <c r="P157" s="101" t="s">
        <v>539</v>
      </c>
      <c r="Q157" s="101" t="s">
        <v>691</v>
      </c>
      <c r="R157" s="101"/>
      <c r="S157" s="101"/>
      <c r="T157" s="101"/>
      <c r="U157" s="101"/>
      <c r="V157" s="101" t="s">
        <v>40</v>
      </c>
      <c r="W157" s="101">
        <v>4501501</v>
      </c>
      <c r="X157" t="str">
        <f t="shared" si="2"/>
        <v>Others</v>
      </c>
      <c r="Y157">
        <v>12657.31</v>
      </c>
    </row>
    <row r="158" spans="1:25" hidden="1">
      <c r="A158" s="101"/>
      <c r="B158" s="101">
        <v>20260420</v>
      </c>
      <c r="C158" s="101">
        <v>1900000348</v>
      </c>
      <c r="D158" s="101" t="s">
        <v>521</v>
      </c>
      <c r="E158" s="101" t="s">
        <v>535</v>
      </c>
      <c r="F158" s="101" t="s">
        <v>675</v>
      </c>
      <c r="G158" s="101">
        <v>40</v>
      </c>
      <c r="H158" s="103">
        <v>1483.89</v>
      </c>
      <c r="I158" s="101" t="s">
        <v>193</v>
      </c>
      <c r="J158" s="101">
        <v>13</v>
      </c>
      <c r="K158" s="101"/>
      <c r="L158" s="101" t="s">
        <v>692</v>
      </c>
      <c r="M158" s="101"/>
      <c r="N158" s="101">
        <v>1021</v>
      </c>
      <c r="O158" s="101"/>
      <c r="P158" s="101" t="s">
        <v>539</v>
      </c>
      <c r="Q158" s="101" t="s">
        <v>693</v>
      </c>
      <c r="R158" s="101"/>
      <c r="S158" s="101"/>
      <c r="T158" s="101"/>
      <c r="U158" s="101"/>
      <c r="V158" s="101" t="s">
        <v>40</v>
      </c>
      <c r="W158" s="101">
        <v>4501501</v>
      </c>
      <c r="X158" t="str">
        <f t="shared" si="2"/>
        <v>Others</v>
      </c>
      <c r="Y158">
        <v>1750</v>
      </c>
    </row>
    <row r="159" spans="1:25" hidden="1">
      <c r="A159" s="101"/>
      <c r="B159" s="101">
        <v>20260420</v>
      </c>
      <c r="C159" s="101">
        <v>1900000349</v>
      </c>
      <c r="D159" s="101" t="s">
        <v>521</v>
      </c>
      <c r="E159" s="101" t="s">
        <v>535</v>
      </c>
      <c r="F159" s="101" t="s">
        <v>675</v>
      </c>
      <c r="G159" s="101">
        <v>40</v>
      </c>
      <c r="H159" s="101">
        <v>515.87</v>
      </c>
      <c r="I159" s="101" t="s">
        <v>193</v>
      </c>
      <c r="J159" s="101">
        <v>13</v>
      </c>
      <c r="K159" s="101"/>
      <c r="L159" s="101" t="s">
        <v>694</v>
      </c>
      <c r="M159" s="101"/>
      <c r="N159" s="101">
        <v>1021</v>
      </c>
      <c r="O159" s="101"/>
      <c r="P159" s="101" t="s">
        <v>539</v>
      </c>
      <c r="Q159" s="101" t="s">
        <v>695</v>
      </c>
      <c r="R159" s="101"/>
      <c r="S159" s="101"/>
      <c r="T159" s="101"/>
      <c r="U159" s="101"/>
      <c r="V159" s="101" t="s">
        <v>40</v>
      </c>
      <c r="W159" s="101">
        <v>4501501</v>
      </c>
      <c r="X159" t="str">
        <f t="shared" si="2"/>
        <v>Others</v>
      </c>
      <c r="Y159">
        <v>1750</v>
      </c>
    </row>
    <row r="160" spans="1:25" hidden="1">
      <c r="A160" s="101"/>
      <c r="B160" s="101">
        <v>20260420</v>
      </c>
      <c r="C160" s="101">
        <v>1900000406</v>
      </c>
      <c r="D160" s="101" t="s">
        <v>534</v>
      </c>
      <c r="E160" s="101" t="s">
        <v>535</v>
      </c>
      <c r="F160" s="101" t="s">
        <v>675</v>
      </c>
      <c r="G160" s="101">
        <v>40</v>
      </c>
      <c r="H160" s="101">
        <v>211.87</v>
      </c>
      <c r="I160" s="101" t="s">
        <v>193</v>
      </c>
      <c r="J160" s="101">
        <v>13</v>
      </c>
      <c r="K160" s="101"/>
      <c r="L160" s="101">
        <v>24732891</v>
      </c>
      <c r="M160" s="101"/>
      <c r="N160" s="101">
        <v>3010</v>
      </c>
      <c r="O160" s="101"/>
      <c r="P160" s="101" t="s">
        <v>539</v>
      </c>
      <c r="Q160" s="101" t="s">
        <v>696</v>
      </c>
      <c r="R160" s="101"/>
      <c r="S160" s="101"/>
      <c r="T160" s="101"/>
      <c r="U160" s="101"/>
      <c r="V160" s="101" t="s">
        <v>40</v>
      </c>
      <c r="W160" s="101">
        <v>4501501</v>
      </c>
      <c r="X160" t="str">
        <f t="shared" si="2"/>
        <v>Others</v>
      </c>
      <c r="Y160">
        <v>2202.5</v>
      </c>
    </row>
    <row r="161" spans="1:25" hidden="1">
      <c r="A161" s="101"/>
      <c r="B161" s="101">
        <v>20260420</v>
      </c>
      <c r="C161" s="101">
        <v>1900000406</v>
      </c>
      <c r="D161" s="101" t="s">
        <v>534</v>
      </c>
      <c r="E161" s="101" t="s">
        <v>535</v>
      </c>
      <c r="F161" s="101" t="s">
        <v>675</v>
      </c>
      <c r="G161" s="101">
        <v>40</v>
      </c>
      <c r="H161" s="101">
        <v>399</v>
      </c>
      <c r="I161" s="101" t="s">
        <v>193</v>
      </c>
      <c r="J161" s="101"/>
      <c r="K161" s="101"/>
      <c r="L161" s="101">
        <v>24732891</v>
      </c>
      <c r="M161" s="101"/>
      <c r="N161" s="101">
        <v>3010</v>
      </c>
      <c r="O161" s="101"/>
      <c r="P161" s="101" t="s">
        <v>539</v>
      </c>
      <c r="Q161" s="101" t="s">
        <v>697</v>
      </c>
      <c r="R161" s="101"/>
      <c r="S161" s="101"/>
      <c r="T161" s="101"/>
      <c r="U161" s="101"/>
      <c r="V161" s="101" t="s">
        <v>40</v>
      </c>
      <c r="W161" s="101">
        <v>4501501</v>
      </c>
      <c r="X161" t="str">
        <f t="shared" si="2"/>
        <v>Others</v>
      </c>
      <c r="Y161">
        <v>2202.5</v>
      </c>
    </row>
    <row r="162" spans="1:25" hidden="1">
      <c r="A162" s="101"/>
      <c r="B162" s="101">
        <v>20260420</v>
      </c>
      <c r="C162" s="101">
        <v>1900000446</v>
      </c>
      <c r="D162" s="101" t="s">
        <v>534</v>
      </c>
      <c r="E162" s="101" t="s">
        <v>535</v>
      </c>
      <c r="F162" s="101" t="s">
        <v>675</v>
      </c>
      <c r="G162" s="101">
        <v>40</v>
      </c>
      <c r="H162" s="101">
        <v>49.5</v>
      </c>
      <c r="I162" s="101" t="s">
        <v>193</v>
      </c>
      <c r="J162" s="101">
        <v>13</v>
      </c>
      <c r="K162" s="101"/>
      <c r="L162" s="101" t="s">
        <v>538</v>
      </c>
      <c r="M162" s="101"/>
      <c r="N162" s="101">
        <v>3010</v>
      </c>
      <c r="O162" s="101"/>
      <c r="P162" s="101" t="s">
        <v>539</v>
      </c>
      <c r="Q162" s="101" t="s">
        <v>538</v>
      </c>
      <c r="R162" s="101"/>
      <c r="S162" s="101"/>
      <c r="T162" s="101"/>
      <c r="U162" s="101"/>
      <c r="V162" s="101" t="s">
        <v>40</v>
      </c>
      <c r="W162" s="101">
        <v>4501501</v>
      </c>
      <c r="X162" t="str">
        <f t="shared" si="2"/>
        <v>Others</v>
      </c>
      <c r="Y162">
        <v>2202.5</v>
      </c>
    </row>
    <row r="163" spans="1:25" hidden="1">
      <c r="A163" s="101"/>
      <c r="B163" s="101">
        <v>20260420</v>
      </c>
      <c r="C163" s="101">
        <v>1900000447</v>
      </c>
      <c r="D163" s="101" t="s">
        <v>534</v>
      </c>
      <c r="E163" s="101" t="s">
        <v>535</v>
      </c>
      <c r="F163" s="101" t="s">
        <v>675</v>
      </c>
      <c r="G163" s="101">
        <v>40</v>
      </c>
      <c r="H163" s="101">
        <v>49.5</v>
      </c>
      <c r="I163" s="101" t="s">
        <v>193</v>
      </c>
      <c r="J163" s="101">
        <v>13</v>
      </c>
      <c r="K163" s="101"/>
      <c r="L163" s="101" t="s">
        <v>538</v>
      </c>
      <c r="M163" s="101"/>
      <c r="N163" s="101">
        <v>3010</v>
      </c>
      <c r="O163" s="101"/>
      <c r="P163" s="101" t="s">
        <v>539</v>
      </c>
      <c r="Q163" s="101" t="s">
        <v>538</v>
      </c>
      <c r="R163" s="101"/>
      <c r="S163" s="101"/>
      <c r="T163" s="101"/>
      <c r="U163" s="101"/>
      <c r="V163" s="101" t="s">
        <v>40</v>
      </c>
      <c r="W163" s="101">
        <v>4501501</v>
      </c>
      <c r="X163" t="str">
        <f t="shared" si="2"/>
        <v>Others</v>
      </c>
      <c r="Y163">
        <v>550</v>
      </c>
    </row>
    <row r="164" spans="1:25" hidden="1">
      <c r="A164" s="101"/>
      <c r="B164" s="101">
        <v>20260420</v>
      </c>
      <c r="C164" s="101">
        <v>1900000616</v>
      </c>
      <c r="D164" s="101" t="s">
        <v>534</v>
      </c>
      <c r="E164" s="101" t="s">
        <v>535</v>
      </c>
      <c r="F164" s="101" t="s">
        <v>675</v>
      </c>
      <c r="G164" s="101">
        <v>40</v>
      </c>
      <c r="H164" s="103">
        <v>4500</v>
      </c>
      <c r="I164" s="101" t="s">
        <v>193</v>
      </c>
      <c r="J164" s="101">
        <v>1</v>
      </c>
      <c r="K164" s="101"/>
      <c r="L164" s="101" t="s">
        <v>143</v>
      </c>
      <c r="M164" s="101"/>
      <c r="N164" s="101">
        <v>3010</v>
      </c>
      <c r="O164" s="101"/>
      <c r="P164" s="101" t="s">
        <v>608</v>
      </c>
      <c r="Q164" s="101" t="s">
        <v>698</v>
      </c>
      <c r="R164" s="101"/>
      <c r="S164" s="101"/>
      <c r="T164" s="101"/>
      <c r="U164" s="101"/>
      <c r="V164" s="101" t="s">
        <v>40</v>
      </c>
      <c r="W164" s="101">
        <v>4501501</v>
      </c>
      <c r="X164" t="str">
        <f t="shared" si="2"/>
        <v>LC Sales</v>
      </c>
      <c r="Y164">
        <v>550</v>
      </c>
    </row>
    <row r="165" spans="1:25" hidden="1">
      <c r="A165" s="101"/>
      <c r="B165" s="101">
        <v>20260420</v>
      </c>
      <c r="C165" s="101">
        <v>1900000617</v>
      </c>
      <c r="D165" s="101" t="s">
        <v>534</v>
      </c>
      <c r="E165" s="101" t="s">
        <v>535</v>
      </c>
      <c r="F165" s="101" t="s">
        <v>675</v>
      </c>
      <c r="G165" s="101">
        <v>40</v>
      </c>
      <c r="H165" s="103">
        <v>4500</v>
      </c>
      <c r="I165" s="101" t="s">
        <v>193</v>
      </c>
      <c r="J165" s="101">
        <v>1</v>
      </c>
      <c r="K165" s="101"/>
      <c r="L165" s="101" t="s">
        <v>187</v>
      </c>
      <c r="M165" s="101"/>
      <c r="N165" s="101">
        <v>3010</v>
      </c>
      <c r="O165" s="101"/>
      <c r="P165" s="101" t="s">
        <v>608</v>
      </c>
      <c r="Q165" s="101" t="s">
        <v>699</v>
      </c>
      <c r="R165" s="101"/>
      <c r="S165" s="101"/>
      <c r="T165" s="101"/>
      <c r="U165" s="101"/>
      <c r="V165" s="101" t="s">
        <v>40</v>
      </c>
      <c r="W165" s="101">
        <v>4501501</v>
      </c>
      <c r="X165" t="str">
        <f t="shared" si="2"/>
        <v>LC Sales</v>
      </c>
      <c r="Y165">
        <v>2600</v>
      </c>
    </row>
    <row r="166" spans="1:25" hidden="1">
      <c r="A166" s="101"/>
      <c r="B166" s="101">
        <v>20260420</v>
      </c>
      <c r="C166" s="101">
        <v>1900000618</v>
      </c>
      <c r="D166" s="101" t="s">
        <v>534</v>
      </c>
      <c r="E166" s="101" t="s">
        <v>535</v>
      </c>
      <c r="F166" s="101" t="s">
        <v>675</v>
      </c>
      <c r="G166" s="101">
        <v>40</v>
      </c>
      <c r="H166" s="103">
        <v>4500</v>
      </c>
      <c r="I166" s="101" t="s">
        <v>193</v>
      </c>
      <c r="J166" s="101">
        <v>1</v>
      </c>
      <c r="K166" s="101"/>
      <c r="L166" s="101" t="s">
        <v>141</v>
      </c>
      <c r="M166" s="101"/>
      <c r="N166" s="101">
        <v>3010</v>
      </c>
      <c r="O166" s="101"/>
      <c r="P166" s="101" t="s">
        <v>608</v>
      </c>
      <c r="Q166" s="101" t="s">
        <v>700</v>
      </c>
      <c r="R166" s="101"/>
      <c r="S166" s="101"/>
      <c r="T166" s="101"/>
      <c r="U166" s="101"/>
      <c r="V166" s="101" t="s">
        <v>40</v>
      </c>
      <c r="W166" s="101">
        <v>4501501</v>
      </c>
      <c r="X166" t="str">
        <f t="shared" si="2"/>
        <v>LC Sales</v>
      </c>
      <c r="Y166">
        <v>2600</v>
      </c>
    </row>
    <row r="167" spans="1:25" hidden="1">
      <c r="A167" s="101"/>
      <c r="B167" s="101">
        <v>20260420</v>
      </c>
      <c r="C167" s="101">
        <v>1900000619</v>
      </c>
      <c r="D167" s="101" t="s">
        <v>534</v>
      </c>
      <c r="E167" s="101" t="s">
        <v>535</v>
      </c>
      <c r="F167" s="101" t="s">
        <v>675</v>
      </c>
      <c r="G167" s="101">
        <v>40</v>
      </c>
      <c r="H167" s="103">
        <v>4500</v>
      </c>
      <c r="I167" s="101" t="s">
        <v>193</v>
      </c>
      <c r="J167" s="101">
        <v>1</v>
      </c>
      <c r="K167" s="101"/>
      <c r="L167" s="101" t="s">
        <v>138</v>
      </c>
      <c r="M167" s="101"/>
      <c r="N167" s="101">
        <v>3010</v>
      </c>
      <c r="O167" s="101"/>
      <c r="P167" s="101" t="s">
        <v>608</v>
      </c>
      <c r="Q167" s="101" t="s">
        <v>701</v>
      </c>
      <c r="R167" s="101"/>
      <c r="S167" s="101"/>
      <c r="T167" s="101"/>
      <c r="U167" s="101"/>
      <c r="V167" s="101" t="s">
        <v>40</v>
      </c>
      <c r="W167" s="101">
        <v>4501501</v>
      </c>
      <c r="X167" t="str">
        <f t="shared" si="2"/>
        <v>LC Sales</v>
      </c>
      <c r="Y167">
        <v>36056.14</v>
      </c>
    </row>
    <row r="168" spans="1:25" hidden="1">
      <c r="A168" s="101"/>
      <c r="B168" s="101">
        <v>20260420</v>
      </c>
      <c r="C168" s="101">
        <v>1900000620</v>
      </c>
      <c r="D168" s="101" t="s">
        <v>534</v>
      </c>
      <c r="E168" s="101" t="s">
        <v>535</v>
      </c>
      <c r="F168" s="101" t="s">
        <v>675</v>
      </c>
      <c r="G168" s="101">
        <v>40</v>
      </c>
      <c r="H168" s="103">
        <v>4500</v>
      </c>
      <c r="I168" s="101" t="s">
        <v>193</v>
      </c>
      <c r="J168" s="101">
        <v>1</v>
      </c>
      <c r="K168" s="101"/>
      <c r="L168" s="101" t="s">
        <v>188</v>
      </c>
      <c r="M168" s="101"/>
      <c r="N168" s="101">
        <v>3010</v>
      </c>
      <c r="O168" s="101"/>
      <c r="P168" s="101" t="s">
        <v>608</v>
      </c>
      <c r="Q168" s="101" t="s">
        <v>702</v>
      </c>
      <c r="R168" s="101"/>
      <c r="S168" s="101"/>
      <c r="T168" s="101"/>
      <c r="U168" s="101"/>
      <c r="V168" s="101" t="s">
        <v>40</v>
      </c>
      <c r="W168" s="101">
        <v>4501501</v>
      </c>
      <c r="X168" t="str">
        <f t="shared" si="2"/>
        <v>LC Sales</v>
      </c>
      <c r="Y168">
        <v>59981.760000000002</v>
      </c>
    </row>
    <row r="169" spans="1:25" hidden="1">
      <c r="A169" s="101"/>
      <c r="B169" s="101">
        <v>20260420</v>
      </c>
      <c r="C169" s="101">
        <v>1900000621</v>
      </c>
      <c r="D169" s="101" t="s">
        <v>534</v>
      </c>
      <c r="E169" s="101" t="s">
        <v>535</v>
      </c>
      <c r="F169" s="101" t="s">
        <v>675</v>
      </c>
      <c r="G169" s="101">
        <v>40</v>
      </c>
      <c r="H169" s="103">
        <v>4500</v>
      </c>
      <c r="I169" s="101" t="s">
        <v>193</v>
      </c>
      <c r="J169" s="101">
        <v>1</v>
      </c>
      <c r="K169" s="101"/>
      <c r="L169" s="101" t="s">
        <v>134</v>
      </c>
      <c r="M169" s="101"/>
      <c r="N169" s="101">
        <v>3010</v>
      </c>
      <c r="O169" s="101"/>
      <c r="P169" s="101" t="s">
        <v>608</v>
      </c>
      <c r="Q169" s="101" t="s">
        <v>703</v>
      </c>
      <c r="R169" s="101"/>
      <c r="S169" s="101"/>
      <c r="T169" s="101"/>
      <c r="U169" s="101"/>
      <c r="V169" s="101" t="s">
        <v>40</v>
      </c>
      <c r="W169" s="101">
        <v>4501501</v>
      </c>
      <c r="X169" t="str">
        <f t="shared" si="2"/>
        <v>LC Sales</v>
      </c>
      <c r="Y169">
        <v>119408.03</v>
      </c>
    </row>
    <row r="170" spans="1:25" hidden="1">
      <c r="A170" s="101"/>
      <c r="B170" s="101">
        <v>20260420</v>
      </c>
      <c r="C170" s="101">
        <v>1900000622</v>
      </c>
      <c r="D170" s="101" t="s">
        <v>534</v>
      </c>
      <c r="E170" s="101" t="s">
        <v>535</v>
      </c>
      <c r="F170" s="101" t="s">
        <v>675</v>
      </c>
      <c r="G170" s="101">
        <v>40</v>
      </c>
      <c r="H170" s="101">
        <v>100</v>
      </c>
      <c r="I170" s="101" t="s">
        <v>193</v>
      </c>
      <c r="J170" s="101">
        <v>1</v>
      </c>
      <c r="K170" s="101"/>
      <c r="L170" s="101" t="s">
        <v>228</v>
      </c>
      <c r="M170" s="101"/>
      <c r="N170" s="101">
        <v>3010</v>
      </c>
      <c r="O170" s="101"/>
      <c r="P170" s="101" t="s">
        <v>669</v>
      </c>
      <c r="Q170" s="101" t="s">
        <v>583</v>
      </c>
      <c r="R170" s="101"/>
      <c r="S170" s="101"/>
      <c r="T170" s="101"/>
      <c r="U170" s="101"/>
      <c r="V170" s="101" t="s">
        <v>40</v>
      </c>
      <c r="W170" s="101">
        <v>4501501</v>
      </c>
      <c r="X170" t="str">
        <f t="shared" si="2"/>
        <v xml:space="preserve">LC </v>
      </c>
      <c r="Y170">
        <v>3000</v>
      </c>
    </row>
    <row r="171" spans="1:25" hidden="1">
      <c r="A171" s="101"/>
      <c r="B171" s="101">
        <v>20260421</v>
      </c>
      <c r="C171" s="101">
        <v>1900000345</v>
      </c>
      <c r="D171" s="101" t="s">
        <v>521</v>
      </c>
      <c r="E171" s="101" t="s">
        <v>535</v>
      </c>
      <c r="F171" s="101" t="s">
        <v>704</v>
      </c>
      <c r="G171" s="101">
        <v>40</v>
      </c>
      <c r="H171" s="101">
        <v>361.64</v>
      </c>
      <c r="I171" s="101" t="s">
        <v>193</v>
      </c>
      <c r="J171" s="101">
        <v>13</v>
      </c>
      <c r="K171" s="101"/>
      <c r="L171" s="101" t="s">
        <v>705</v>
      </c>
      <c r="M171" s="101"/>
      <c r="N171" s="101">
        <v>1021</v>
      </c>
      <c r="O171" s="101"/>
      <c r="P171" s="101" t="s">
        <v>539</v>
      </c>
      <c r="Q171" s="101" t="s">
        <v>706</v>
      </c>
      <c r="R171" s="101"/>
      <c r="S171" s="101"/>
      <c r="T171" s="101"/>
      <c r="U171" s="101"/>
      <c r="V171" s="101" t="s">
        <v>40</v>
      </c>
      <c r="W171" s="101">
        <v>4501501</v>
      </c>
      <c r="X171" t="str">
        <f t="shared" si="2"/>
        <v>Others</v>
      </c>
      <c r="Y171">
        <v>4518</v>
      </c>
    </row>
    <row r="172" spans="1:25" hidden="1">
      <c r="A172" s="101"/>
      <c r="B172" s="101">
        <v>20260421</v>
      </c>
      <c r="C172" s="101">
        <v>1900000437</v>
      </c>
      <c r="D172" s="101" t="s">
        <v>534</v>
      </c>
      <c r="E172" s="101" t="s">
        <v>535</v>
      </c>
      <c r="F172" s="101" t="s">
        <v>704</v>
      </c>
      <c r="G172" s="101">
        <v>40</v>
      </c>
      <c r="H172" s="103">
        <v>1250</v>
      </c>
      <c r="I172" s="101" t="s">
        <v>193</v>
      </c>
      <c r="J172" s="101">
        <v>13</v>
      </c>
      <c r="K172" s="101"/>
      <c r="L172" s="101" t="s">
        <v>488</v>
      </c>
      <c r="M172" s="101"/>
      <c r="N172" s="101">
        <v>3010</v>
      </c>
      <c r="O172" s="101"/>
      <c r="P172" s="101" t="s">
        <v>597</v>
      </c>
      <c r="Q172" s="101" t="s">
        <v>707</v>
      </c>
      <c r="R172" s="101"/>
      <c r="S172" s="101"/>
      <c r="T172" s="101"/>
      <c r="U172" s="101"/>
      <c r="V172" s="101" t="s">
        <v>40</v>
      </c>
      <c r="W172" s="101">
        <v>4501501</v>
      </c>
      <c r="X172" t="str">
        <f t="shared" si="2"/>
        <v>Retirement chgs</v>
      </c>
      <c r="Y172">
        <v>3000</v>
      </c>
    </row>
    <row r="173" spans="1:25" hidden="1">
      <c r="A173" s="101"/>
      <c r="B173" s="101">
        <v>20260421</v>
      </c>
      <c r="C173" s="101">
        <v>1900000437</v>
      </c>
      <c r="D173" s="101" t="s">
        <v>534</v>
      </c>
      <c r="E173" s="101" t="s">
        <v>535</v>
      </c>
      <c r="F173" s="101" t="s">
        <v>704</v>
      </c>
      <c r="G173" s="101">
        <v>40</v>
      </c>
      <c r="H173" s="101">
        <v>500</v>
      </c>
      <c r="I173" s="101" t="s">
        <v>193</v>
      </c>
      <c r="J173" s="101">
        <v>13</v>
      </c>
      <c r="K173" s="101"/>
      <c r="L173" s="101" t="s">
        <v>488</v>
      </c>
      <c r="M173" s="101"/>
      <c r="N173" s="101">
        <v>3010</v>
      </c>
      <c r="O173" s="101"/>
      <c r="P173" s="101" t="s">
        <v>597</v>
      </c>
      <c r="Q173" s="101" t="s">
        <v>542</v>
      </c>
      <c r="R173" s="101"/>
      <c r="S173" s="101"/>
      <c r="T173" s="101"/>
      <c r="U173" s="101"/>
      <c r="V173" s="101" t="s">
        <v>40</v>
      </c>
      <c r="W173" s="101">
        <v>4501501</v>
      </c>
      <c r="X173" t="str">
        <f t="shared" si="2"/>
        <v>Retirement chgs</v>
      </c>
      <c r="Y173">
        <v>25</v>
      </c>
    </row>
    <row r="174" spans="1:25" hidden="1">
      <c r="A174" s="101"/>
      <c r="B174" s="101">
        <v>20260421</v>
      </c>
      <c r="C174" s="101">
        <v>1900000439</v>
      </c>
      <c r="D174" s="101" t="s">
        <v>534</v>
      </c>
      <c r="E174" s="101" t="s">
        <v>535</v>
      </c>
      <c r="F174" s="101" t="s">
        <v>704</v>
      </c>
      <c r="G174" s="101">
        <v>40</v>
      </c>
      <c r="H174" s="101">
        <v>49.5</v>
      </c>
      <c r="I174" s="101" t="s">
        <v>193</v>
      </c>
      <c r="J174" s="101">
        <v>13</v>
      </c>
      <c r="K174" s="101"/>
      <c r="L174" s="101" t="s">
        <v>538</v>
      </c>
      <c r="M174" s="101"/>
      <c r="N174" s="101">
        <v>3010</v>
      </c>
      <c r="O174" s="101"/>
      <c r="P174" s="101" t="s">
        <v>539</v>
      </c>
      <c r="Q174" s="101" t="s">
        <v>538</v>
      </c>
      <c r="R174" s="101"/>
      <c r="S174" s="101"/>
      <c r="T174" s="101"/>
      <c r="U174" s="101"/>
      <c r="V174" s="101" t="s">
        <v>40</v>
      </c>
      <c r="W174" s="101">
        <v>4501501</v>
      </c>
      <c r="X174" t="str">
        <f t="shared" si="2"/>
        <v>Others</v>
      </c>
      <c r="Y174">
        <v>25</v>
      </c>
    </row>
    <row r="175" spans="1:25" hidden="1">
      <c r="A175" s="101"/>
      <c r="B175" s="101">
        <v>20260421</v>
      </c>
      <c r="C175" s="101">
        <v>1900000440</v>
      </c>
      <c r="D175" s="101" t="s">
        <v>534</v>
      </c>
      <c r="E175" s="101" t="s">
        <v>535</v>
      </c>
      <c r="F175" s="101" t="s">
        <v>704</v>
      </c>
      <c r="G175" s="101">
        <v>40</v>
      </c>
      <c r="H175" s="101">
        <v>49.5</v>
      </c>
      <c r="I175" s="101" t="s">
        <v>193</v>
      </c>
      <c r="J175" s="101">
        <v>13</v>
      </c>
      <c r="K175" s="101"/>
      <c r="L175" s="101" t="s">
        <v>538</v>
      </c>
      <c r="M175" s="101"/>
      <c r="N175" s="101">
        <v>3010</v>
      </c>
      <c r="O175" s="101"/>
      <c r="P175" s="101" t="s">
        <v>539</v>
      </c>
      <c r="Q175" s="101" t="s">
        <v>538</v>
      </c>
      <c r="R175" s="101"/>
      <c r="S175" s="101"/>
      <c r="T175" s="101"/>
      <c r="U175" s="101"/>
      <c r="V175" s="101" t="s">
        <v>40</v>
      </c>
      <c r="W175" s="101">
        <v>4501501</v>
      </c>
      <c r="X175" t="str">
        <f t="shared" si="2"/>
        <v>Others</v>
      </c>
      <c r="Y175">
        <v>25</v>
      </c>
    </row>
    <row r="176" spans="1:25" hidden="1">
      <c r="A176" s="101"/>
      <c r="B176" s="101">
        <v>20260421</v>
      </c>
      <c r="C176" s="101">
        <v>1900000445</v>
      </c>
      <c r="D176" s="101" t="s">
        <v>534</v>
      </c>
      <c r="E176" s="101" t="s">
        <v>535</v>
      </c>
      <c r="F176" s="101" t="s">
        <v>704</v>
      </c>
      <c r="G176" s="101">
        <v>40</v>
      </c>
      <c r="H176" s="101">
        <v>49.5</v>
      </c>
      <c r="I176" s="101" t="s">
        <v>193</v>
      </c>
      <c r="J176" s="101">
        <v>13</v>
      </c>
      <c r="K176" s="101"/>
      <c r="L176" s="101" t="s">
        <v>538</v>
      </c>
      <c r="M176" s="101"/>
      <c r="N176" s="101">
        <v>3010</v>
      </c>
      <c r="O176" s="101"/>
      <c r="P176" s="101" t="s">
        <v>539</v>
      </c>
      <c r="Q176" s="101" t="s">
        <v>538</v>
      </c>
      <c r="R176" s="101"/>
      <c r="S176" s="101"/>
      <c r="T176" s="101"/>
      <c r="U176" s="101"/>
      <c r="V176" s="101" t="s">
        <v>40</v>
      </c>
      <c r="W176" s="101">
        <v>4501501</v>
      </c>
      <c r="X176" t="str">
        <f t="shared" si="2"/>
        <v>Others</v>
      </c>
      <c r="Y176">
        <v>25</v>
      </c>
    </row>
    <row r="177" spans="1:25" hidden="1">
      <c r="A177" s="101"/>
      <c r="B177" s="101">
        <v>20260421</v>
      </c>
      <c r="C177" s="101">
        <v>1900000524</v>
      </c>
      <c r="D177" s="101" t="s">
        <v>534</v>
      </c>
      <c r="E177" s="101" t="s">
        <v>535</v>
      </c>
      <c r="F177" s="101" t="s">
        <v>704</v>
      </c>
      <c r="G177" s="101">
        <v>40</v>
      </c>
      <c r="H177" s="101">
        <v>550</v>
      </c>
      <c r="I177" s="101" t="s">
        <v>193</v>
      </c>
      <c r="J177" s="101">
        <v>1</v>
      </c>
      <c r="K177" s="101"/>
      <c r="L177" s="101" t="s">
        <v>369</v>
      </c>
      <c r="M177" s="101"/>
      <c r="N177" s="101">
        <v>3010</v>
      </c>
      <c r="O177" s="101"/>
      <c r="P177" s="101" t="s">
        <v>536</v>
      </c>
      <c r="Q177" s="101" t="s">
        <v>708</v>
      </c>
      <c r="R177" s="101"/>
      <c r="S177" s="101"/>
      <c r="T177" s="101"/>
      <c r="U177" s="101"/>
      <c r="V177" s="101" t="s">
        <v>40</v>
      </c>
      <c r="W177" s="101">
        <v>4501501</v>
      </c>
      <c r="X177" t="str">
        <f t="shared" si="2"/>
        <v>LC Chgs</v>
      </c>
      <c r="Y177">
        <v>4.5</v>
      </c>
    </row>
    <row r="178" spans="1:25" hidden="1">
      <c r="A178" s="101"/>
      <c r="B178" s="101">
        <v>20260421</v>
      </c>
      <c r="C178" s="101">
        <v>1900000526</v>
      </c>
      <c r="D178" s="101" t="s">
        <v>534</v>
      </c>
      <c r="E178" s="101" t="s">
        <v>535</v>
      </c>
      <c r="F178" s="101" t="s">
        <v>704</v>
      </c>
      <c r="G178" s="101">
        <v>40</v>
      </c>
      <c r="H178" s="101">
        <v>550</v>
      </c>
      <c r="I178" s="101" t="s">
        <v>193</v>
      </c>
      <c r="J178" s="101">
        <v>1</v>
      </c>
      <c r="K178" s="101"/>
      <c r="L178" s="101" t="s">
        <v>372</v>
      </c>
      <c r="M178" s="101"/>
      <c r="N178" s="101">
        <v>3010</v>
      </c>
      <c r="O178" s="101"/>
      <c r="P178" s="101" t="s">
        <v>536</v>
      </c>
      <c r="Q178" s="101" t="s">
        <v>709</v>
      </c>
      <c r="R178" s="101"/>
      <c r="S178" s="101"/>
      <c r="T178" s="101"/>
      <c r="U178" s="101"/>
      <c r="V178" s="101" t="s">
        <v>40</v>
      </c>
      <c r="W178" s="101">
        <v>4501501</v>
      </c>
      <c r="X178" t="str">
        <f t="shared" si="2"/>
        <v>LC Chgs</v>
      </c>
      <c r="Y178">
        <v>4.5</v>
      </c>
    </row>
    <row r="179" spans="1:25" hidden="1">
      <c r="A179" s="101"/>
      <c r="B179" s="101">
        <v>20260421</v>
      </c>
      <c r="C179" s="101">
        <v>1900000546</v>
      </c>
      <c r="D179" s="101" t="s">
        <v>534</v>
      </c>
      <c r="E179" s="101" t="s">
        <v>535</v>
      </c>
      <c r="F179" s="101" t="s">
        <v>704</v>
      </c>
      <c r="G179" s="101">
        <v>40</v>
      </c>
      <c r="H179" s="101">
        <v>100</v>
      </c>
      <c r="I179" s="101" t="s">
        <v>193</v>
      </c>
      <c r="J179" s="101">
        <v>1</v>
      </c>
      <c r="K179" s="101"/>
      <c r="L179" s="101" t="s">
        <v>227</v>
      </c>
      <c r="M179" s="101"/>
      <c r="N179" s="101">
        <v>3010</v>
      </c>
      <c r="O179" s="101"/>
      <c r="P179" s="101" t="s">
        <v>536</v>
      </c>
      <c r="Q179" s="101" t="s">
        <v>583</v>
      </c>
      <c r="R179" s="101"/>
      <c r="S179" s="101"/>
      <c r="T179" s="101"/>
      <c r="U179" s="101"/>
      <c r="V179" s="101" t="s">
        <v>40</v>
      </c>
      <c r="W179" s="101">
        <v>4501501</v>
      </c>
      <c r="X179" t="str">
        <f t="shared" si="2"/>
        <v>LC Chgs</v>
      </c>
      <c r="Y179">
        <v>4.5</v>
      </c>
    </row>
    <row r="180" spans="1:25" hidden="1">
      <c r="A180" s="101"/>
      <c r="B180" s="101">
        <v>20260421</v>
      </c>
      <c r="C180" s="101">
        <v>1900000549</v>
      </c>
      <c r="D180" s="101" t="s">
        <v>534</v>
      </c>
      <c r="E180" s="101" t="s">
        <v>535</v>
      </c>
      <c r="F180" s="101" t="s">
        <v>704</v>
      </c>
      <c r="G180" s="101">
        <v>40</v>
      </c>
      <c r="H180" s="101">
        <v>100</v>
      </c>
      <c r="I180" s="101" t="s">
        <v>193</v>
      </c>
      <c r="J180" s="101">
        <v>1</v>
      </c>
      <c r="K180" s="101"/>
      <c r="L180" s="101" t="s">
        <v>226</v>
      </c>
      <c r="M180" s="101"/>
      <c r="N180" s="101">
        <v>3010</v>
      </c>
      <c r="O180" s="101"/>
      <c r="P180" s="101" t="s">
        <v>536</v>
      </c>
      <c r="Q180" s="101" t="s">
        <v>583</v>
      </c>
      <c r="R180" s="101"/>
      <c r="S180" s="101"/>
      <c r="T180" s="101"/>
      <c r="U180" s="101"/>
      <c r="V180" s="101" t="s">
        <v>40</v>
      </c>
      <c r="W180" s="101">
        <v>4501501</v>
      </c>
      <c r="X180" t="str">
        <f t="shared" si="2"/>
        <v>LC Chgs</v>
      </c>
      <c r="Y180">
        <v>4.5</v>
      </c>
    </row>
    <row r="181" spans="1:25" hidden="1">
      <c r="A181" s="101"/>
      <c r="B181" s="101">
        <v>20260421</v>
      </c>
      <c r="C181" s="101">
        <v>1900000579</v>
      </c>
      <c r="D181" s="101" t="s">
        <v>534</v>
      </c>
      <c r="E181" s="101" t="s">
        <v>535</v>
      </c>
      <c r="F181" s="101" t="s">
        <v>704</v>
      </c>
      <c r="G181" s="101">
        <v>40</v>
      </c>
      <c r="H181" s="103">
        <v>4500</v>
      </c>
      <c r="I181" s="101" t="s">
        <v>193</v>
      </c>
      <c r="J181" s="101">
        <v>1</v>
      </c>
      <c r="K181" s="101"/>
      <c r="L181" s="101" t="s">
        <v>152</v>
      </c>
      <c r="M181" s="101"/>
      <c r="N181" s="101">
        <v>3010</v>
      </c>
      <c r="O181" s="101"/>
      <c r="P181" s="101" t="s">
        <v>608</v>
      </c>
      <c r="Q181" s="101" t="s">
        <v>710</v>
      </c>
      <c r="R181" s="101"/>
      <c r="S181" s="101"/>
      <c r="T181" s="101"/>
      <c r="U181" s="101"/>
      <c r="V181" s="101" t="s">
        <v>40</v>
      </c>
      <c r="W181" s="101">
        <v>4501501</v>
      </c>
      <c r="X181" t="str">
        <f t="shared" si="2"/>
        <v>LC Sales</v>
      </c>
      <c r="Y181">
        <v>13.5</v>
      </c>
    </row>
    <row r="182" spans="1:25" hidden="1">
      <c r="A182" s="101"/>
      <c r="B182" s="101">
        <v>20260421</v>
      </c>
      <c r="C182" s="101">
        <v>1900000580</v>
      </c>
      <c r="D182" s="101" t="s">
        <v>534</v>
      </c>
      <c r="E182" s="101" t="s">
        <v>535</v>
      </c>
      <c r="F182" s="101" t="s">
        <v>704</v>
      </c>
      <c r="G182" s="101">
        <v>40</v>
      </c>
      <c r="H182" s="103">
        <v>4500</v>
      </c>
      <c r="I182" s="101" t="s">
        <v>193</v>
      </c>
      <c r="J182" s="101">
        <v>1</v>
      </c>
      <c r="K182" s="101"/>
      <c r="L182" s="101" t="s">
        <v>146</v>
      </c>
      <c r="M182" s="101"/>
      <c r="N182" s="101">
        <v>3010</v>
      </c>
      <c r="O182" s="101"/>
      <c r="P182" s="101" t="s">
        <v>608</v>
      </c>
      <c r="Q182" s="101" t="s">
        <v>711</v>
      </c>
      <c r="R182" s="101"/>
      <c r="S182" s="101"/>
      <c r="T182" s="101"/>
      <c r="U182" s="101"/>
      <c r="V182" s="101" t="s">
        <v>40</v>
      </c>
      <c r="W182" s="101">
        <v>4501501</v>
      </c>
      <c r="X182" t="str">
        <f t="shared" si="2"/>
        <v>LC Sales</v>
      </c>
      <c r="Y182">
        <v>13.5</v>
      </c>
    </row>
    <row r="183" spans="1:25" hidden="1">
      <c r="A183" s="101"/>
      <c r="B183" s="101">
        <v>20260421</v>
      </c>
      <c r="C183" s="101">
        <v>1900000581</v>
      </c>
      <c r="D183" s="101" t="s">
        <v>534</v>
      </c>
      <c r="E183" s="101" t="s">
        <v>535</v>
      </c>
      <c r="F183" s="101" t="s">
        <v>704</v>
      </c>
      <c r="G183" s="101">
        <v>40</v>
      </c>
      <c r="H183" s="103">
        <v>4500</v>
      </c>
      <c r="I183" s="101" t="s">
        <v>193</v>
      </c>
      <c r="J183" s="101">
        <v>1</v>
      </c>
      <c r="K183" s="101"/>
      <c r="L183" s="101" t="s">
        <v>148</v>
      </c>
      <c r="M183" s="101"/>
      <c r="N183" s="101">
        <v>3010</v>
      </c>
      <c r="O183" s="101"/>
      <c r="P183" s="101" t="s">
        <v>608</v>
      </c>
      <c r="Q183" s="101" t="s">
        <v>712</v>
      </c>
      <c r="R183" s="101"/>
      <c r="S183" s="101"/>
      <c r="T183" s="101"/>
      <c r="U183" s="101"/>
      <c r="V183" s="101" t="s">
        <v>40</v>
      </c>
      <c r="W183" s="101">
        <v>4501501</v>
      </c>
      <c r="X183" t="str">
        <f t="shared" si="2"/>
        <v>LC Sales</v>
      </c>
      <c r="Y183">
        <v>13.5</v>
      </c>
    </row>
    <row r="184" spans="1:25" hidden="1">
      <c r="A184" s="101"/>
      <c r="B184" s="101">
        <v>20260421</v>
      </c>
      <c r="C184" s="101">
        <v>1900000664</v>
      </c>
      <c r="D184" s="101" t="s">
        <v>534</v>
      </c>
      <c r="E184" s="101" t="s">
        <v>535</v>
      </c>
      <c r="F184" s="101" t="s">
        <v>704</v>
      </c>
      <c r="G184" s="101">
        <v>40</v>
      </c>
      <c r="H184" s="103">
        <v>1000</v>
      </c>
      <c r="I184" s="101" t="s">
        <v>193</v>
      </c>
      <c r="J184" s="101">
        <v>1</v>
      </c>
      <c r="K184" s="101"/>
      <c r="L184" s="101" t="s">
        <v>598</v>
      </c>
      <c r="M184" s="36" t="s">
        <v>376</v>
      </c>
      <c r="N184" s="101">
        <v>3010</v>
      </c>
      <c r="O184" s="101"/>
      <c r="P184" s="101" t="s">
        <v>536</v>
      </c>
      <c r="Q184" s="101" t="s">
        <v>600</v>
      </c>
      <c r="R184" s="101"/>
      <c r="S184" s="101"/>
      <c r="T184" s="101"/>
      <c r="U184" s="101"/>
      <c r="V184" s="101" t="s">
        <v>40</v>
      </c>
      <c r="W184" s="101">
        <v>4501501</v>
      </c>
      <c r="X184" t="str">
        <f t="shared" si="2"/>
        <v>retirement chgs</v>
      </c>
      <c r="Y184">
        <v>13.5</v>
      </c>
    </row>
    <row r="185" spans="1:25" hidden="1">
      <c r="A185" s="101"/>
      <c r="B185" s="101">
        <v>20260422</v>
      </c>
      <c r="C185" s="101">
        <v>100000409</v>
      </c>
      <c r="D185" s="101" t="s">
        <v>521</v>
      </c>
      <c r="E185" s="101" t="s">
        <v>522</v>
      </c>
      <c r="F185" s="101" t="s">
        <v>713</v>
      </c>
      <c r="G185" s="101">
        <v>40</v>
      </c>
      <c r="H185" s="103">
        <v>4518</v>
      </c>
      <c r="I185" s="101" t="s">
        <v>193</v>
      </c>
      <c r="J185" s="101"/>
      <c r="K185" s="101"/>
      <c r="L185" s="101" t="s">
        <v>251</v>
      </c>
      <c r="M185" s="101"/>
      <c r="N185" s="101">
        <v>1021</v>
      </c>
      <c r="O185" s="101"/>
      <c r="P185" s="101" t="s">
        <v>523</v>
      </c>
      <c r="Q185" s="101" t="s">
        <v>714</v>
      </c>
      <c r="R185" s="101"/>
      <c r="S185" s="101"/>
      <c r="T185" s="101"/>
      <c r="U185" s="101"/>
      <c r="V185" s="101" t="s">
        <v>40</v>
      </c>
      <c r="W185" s="101">
        <v>4501501</v>
      </c>
      <c r="X185" t="str">
        <f t="shared" si="2"/>
        <v>Retirement Chgs</v>
      </c>
      <c r="Y185">
        <v>13.5</v>
      </c>
    </row>
    <row r="186" spans="1:25" hidden="1">
      <c r="A186" s="101"/>
      <c r="B186" s="101">
        <v>20260422</v>
      </c>
      <c r="C186" s="101">
        <v>1900000663</v>
      </c>
      <c r="D186" s="101" t="s">
        <v>534</v>
      </c>
      <c r="E186" s="101" t="s">
        <v>535</v>
      </c>
      <c r="F186" s="101" t="s">
        <v>713</v>
      </c>
      <c r="G186" s="101">
        <v>40</v>
      </c>
      <c r="H186" s="101">
        <v>500</v>
      </c>
      <c r="I186" s="101" t="s">
        <v>193</v>
      </c>
      <c r="J186" s="101">
        <v>1</v>
      </c>
      <c r="K186" s="101"/>
      <c r="L186" s="101" t="s">
        <v>598</v>
      </c>
      <c r="M186" s="60" t="s">
        <v>492</v>
      </c>
      <c r="N186" s="101">
        <v>3010</v>
      </c>
      <c r="O186" s="101"/>
      <c r="P186" s="101" t="s">
        <v>599</v>
      </c>
      <c r="Q186" s="101" t="s">
        <v>600</v>
      </c>
      <c r="R186" s="101"/>
      <c r="S186" s="101"/>
      <c r="T186" s="101"/>
      <c r="U186" s="101"/>
      <c r="V186" s="101" t="s">
        <v>40</v>
      </c>
      <c r="W186" s="101">
        <v>4501501</v>
      </c>
      <c r="X186" t="str">
        <f t="shared" si="2"/>
        <v>retirement chgs</v>
      </c>
      <c r="Y186">
        <v>13.5</v>
      </c>
    </row>
    <row r="187" spans="1:25" hidden="1">
      <c r="A187" s="101"/>
      <c r="B187" s="101">
        <v>20260423</v>
      </c>
      <c r="C187" s="101">
        <v>100000523</v>
      </c>
      <c r="D187" s="101" t="s">
        <v>521</v>
      </c>
      <c r="E187" s="101" t="s">
        <v>522</v>
      </c>
      <c r="F187" s="101" t="s">
        <v>715</v>
      </c>
      <c r="G187" s="101">
        <v>40</v>
      </c>
      <c r="H187" s="101">
        <v>25</v>
      </c>
      <c r="I187" s="101" t="s">
        <v>193</v>
      </c>
      <c r="J187" s="101"/>
      <c r="K187" s="101"/>
      <c r="L187" s="101">
        <v>16302</v>
      </c>
      <c r="M187" s="101"/>
      <c r="N187" s="101">
        <v>1021</v>
      </c>
      <c r="O187" s="101"/>
      <c r="P187" s="101" t="s">
        <v>539</v>
      </c>
      <c r="Q187" s="101" t="s">
        <v>716</v>
      </c>
      <c r="R187" s="101"/>
      <c r="S187" s="101"/>
      <c r="T187" s="101"/>
      <c r="U187" s="101"/>
      <c r="V187" s="101" t="s">
        <v>40</v>
      </c>
      <c r="W187" s="101">
        <v>4501501</v>
      </c>
      <c r="X187" t="str">
        <f t="shared" si="2"/>
        <v>Others</v>
      </c>
      <c r="Y187">
        <v>766.24</v>
      </c>
    </row>
    <row r="188" spans="1:25" hidden="1">
      <c r="A188" s="101"/>
      <c r="B188" s="101">
        <v>20260423</v>
      </c>
      <c r="C188" s="101">
        <v>100000524</v>
      </c>
      <c r="D188" s="101" t="s">
        <v>521</v>
      </c>
      <c r="E188" s="101" t="s">
        <v>522</v>
      </c>
      <c r="F188" s="101" t="s">
        <v>715</v>
      </c>
      <c r="G188" s="101">
        <v>40</v>
      </c>
      <c r="H188" s="101">
        <v>25</v>
      </c>
      <c r="I188" s="101" t="s">
        <v>193</v>
      </c>
      <c r="J188" s="101"/>
      <c r="K188" s="101"/>
      <c r="L188" s="101">
        <v>16303</v>
      </c>
      <c r="M188" s="101"/>
      <c r="N188" s="101">
        <v>1021</v>
      </c>
      <c r="O188" s="101"/>
      <c r="P188" s="101" t="s">
        <v>539</v>
      </c>
      <c r="Q188" s="101" t="s">
        <v>716</v>
      </c>
      <c r="R188" s="101"/>
      <c r="S188" s="101"/>
      <c r="T188" s="101"/>
      <c r="U188" s="101"/>
      <c r="V188" s="101" t="s">
        <v>40</v>
      </c>
      <c r="W188" s="101">
        <v>4501501</v>
      </c>
      <c r="X188" t="str">
        <f t="shared" si="2"/>
        <v>Others</v>
      </c>
      <c r="Y188">
        <v>90173.909999999989</v>
      </c>
    </row>
    <row r="189" spans="1:25" hidden="1">
      <c r="A189" s="101"/>
      <c r="B189" s="101">
        <v>20260423</v>
      </c>
      <c r="C189" s="101">
        <v>100000525</v>
      </c>
      <c r="D189" s="101" t="s">
        <v>521</v>
      </c>
      <c r="E189" s="101" t="s">
        <v>522</v>
      </c>
      <c r="F189" s="101" t="s">
        <v>715</v>
      </c>
      <c r="G189" s="101">
        <v>40</v>
      </c>
      <c r="H189" s="101">
        <v>25</v>
      </c>
      <c r="I189" s="101" t="s">
        <v>193</v>
      </c>
      <c r="J189" s="101"/>
      <c r="K189" s="101"/>
      <c r="L189" s="101">
        <v>16299</v>
      </c>
      <c r="M189" s="101"/>
      <c r="N189" s="101">
        <v>1021</v>
      </c>
      <c r="O189" s="101"/>
      <c r="P189" s="101" t="s">
        <v>539</v>
      </c>
      <c r="Q189" s="101" t="s">
        <v>716</v>
      </c>
      <c r="R189" s="101"/>
      <c r="S189" s="101"/>
      <c r="T189" s="101"/>
      <c r="U189" s="101"/>
      <c r="V189" s="101" t="s">
        <v>40</v>
      </c>
      <c r="W189" s="101">
        <v>4501501</v>
      </c>
      <c r="X189" t="str">
        <f t="shared" si="2"/>
        <v>Others</v>
      </c>
      <c r="Y189">
        <v>5253.7199999999993</v>
      </c>
    </row>
    <row r="190" spans="1:25" hidden="1">
      <c r="A190" s="101"/>
      <c r="B190" s="101">
        <v>20260423</v>
      </c>
      <c r="C190" s="101">
        <v>100000526</v>
      </c>
      <c r="D190" s="101" t="s">
        <v>521</v>
      </c>
      <c r="E190" s="101" t="s">
        <v>522</v>
      </c>
      <c r="F190" s="101" t="s">
        <v>715</v>
      </c>
      <c r="G190" s="101">
        <v>40</v>
      </c>
      <c r="H190" s="101">
        <v>25</v>
      </c>
      <c r="I190" s="101" t="s">
        <v>193</v>
      </c>
      <c r="J190" s="101"/>
      <c r="K190" s="101"/>
      <c r="L190" s="101">
        <v>16301</v>
      </c>
      <c r="M190" s="101"/>
      <c r="N190" s="101">
        <v>1021</v>
      </c>
      <c r="O190" s="101"/>
      <c r="P190" s="101" t="s">
        <v>539</v>
      </c>
      <c r="Q190" s="101" t="s">
        <v>716</v>
      </c>
      <c r="R190" s="101"/>
      <c r="S190" s="101"/>
      <c r="T190" s="101"/>
      <c r="U190" s="101"/>
      <c r="V190" s="101" t="s">
        <v>40</v>
      </c>
      <c r="W190" s="101">
        <v>4501501</v>
      </c>
      <c r="X190" t="str">
        <f t="shared" si="2"/>
        <v>Others</v>
      </c>
      <c r="Y190">
        <v>3867.29</v>
      </c>
    </row>
    <row r="191" spans="1:25" hidden="1">
      <c r="A191" s="101"/>
      <c r="B191" s="101">
        <v>20260423</v>
      </c>
      <c r="C191" s="101">
        <v>100000527</v>
      </c>
      <c r="D191" s="101" t="s">
        <v>521</v>
      </c>
      <c r="E191" s="101" t="s">
        <v>522</v>
      </c>
      <c r="F191" s="101" t="s">
        <v>715</v>
      </c>
      <c r="G191" s="101">
        <v>40</v>
      </c>
      <c r="H191" s="101">
        <v>2.25</v>
      </c>
      <c r="I191" s="101" t="s">
        <v>193</v>
      </c>
      <c r="J191" s="101"/>
      <c r="K191" s="101"/>
      <c r="L191" s="101" t="s">
        <v>717</v>
      </c>
      <c r="M191" s="101"/>
      <c r="N191" s="101">
        <v>1021</v>
      </c>
      <c r="O191" s="101"/>
      <c r="P191" s="101" t="s">
        <v>539</v>
      </c>
      <c r="Q191" s="101" t="s">
        <v>716</v>
      </c>
      <c r="R191" s="101"/>
      <c r="S191" s="101"/>
      <c r="T191" s="101"/>
      <c r="U191" s="101"/>
      <c r="V191" s="101" t="s">
        <v>40</v>
      </c>
      <c r="W191" s="101">
        <v>4501501</v>
      </c>
      <c r="X191" t="str">
        <f t="shared" si="2"/>
        <v>Others</v>
      </c>
      <c r="Y191">
        <v>61449.64</v>
      </c>
    </row>
    <row r="192" spans="1:25" hidden="1">
      <c r="A192" s="101"/>
      <c r="B192" s="101">
        <v>20260423</v>
      </c>
      <c r="C192" s="101">
        <v>100000528</v>
      </c>
      <c r="D192" s="101" t="s">
        <v>521</v>
      </c>
      <c r="E192" s="101" t="s">
        <v>522</v>
      </c>
      <c r="F192" s="101" t="s">
        <v>715</v>
      </c>
      <c r="G192" s="101">
        <v>40</v>
      </c>
      <c r="H192" s="101">
        <v>25</v>
      </c>
      <c r="I192" s="101" t="s">
        <v>193</v>
      </c>
      <c r="J192" s="101"/>
      <c r="K192" s="101"/>
      <c r="L192" s="101" t="s">
        <v>717</v>
      </c>
      <c r="M192" s="101"/>
      <c r="N192" s="101">
        <v>1021</v>
      </c>
      <c r="O192" s="101"/>
      <c r="P192" s="101" t="s">
        <v>539</v>
      </c>
      <c r="Q192" s="101" t="s">
        <v>716</v>
      </c>
      <c r="R192" s="101"/>
      <c r="S192" s="101"/>
      <c r="T192" s="101"/>
      <c r="U192" s="101"/>
      <c r="V192" s="101" t="s">
        <v>40</v>
      </c>
      <c r="W192" s="101">
        <v>4501501</v>
      </c>
      <c r="X192" t="str">
        <f t="shared" si="2"/>
        <v>Others</v>
      </c>
      <c r="Y192">
        <v>100</v>
      </c>
    </row>
    <row r="193" spans="1:25" hidden="1">
      <c r="A193" s="101"/>
      <c r="B193" s="101">
        <v>20260423</v>
      </c>
      <c r="C193" s="101">
        <v>100000529</v>
      </c>
      <c r="D193" s="101" t="s">
        <v>521</v>
      </c>
      <c r="E193" s="101" t="s">
        <v>718</v>
      </c>
      <c r="F193" s="101" t="s">
        <v>715</v>
      </c>
      <c r="G193" s="101">
        <v>50</v>
      </c>
      <c r="H193" s="101">
        <v>-25</v>
      </c>
      <c r="I193" s="101" t="s">
        <v>193</v>
      </c>
      <c r="J193" s="101"/>
      <c r="K193" s="101"/>
      <c r="L193" s="101" t="s">
        <v>717</v>
      </c>
      <c r="M193" s="101"/>
      <c r="N193" s="101">
        <v>1021</v>
      </c>
      <c r="O193" s="101"/>
      <c r="P193" s="101" t="s">
        <v>539</v>
      </c>
      <c r="Q193" s="101" t="s">
        <v>716</v>
      </c>
      <c r="R193" s="101"/>
      <c r="S193" s="101"/>
      <c r="T193" s="101"/>
      <c r="U193" s="101"/>
      <c r="V193" s="101" t="s">
        <v>40</v>
      </c>
      <c r="W193" s="101">
        <v>4501501</v>
      </c>
      <c r="X193" t="str">
        <f t="shared" si="2"/>
        <v>Others</v>
      </c>
      <c r="Y193">
        <v>2202.5</v>
      </c>
    </row>
    <row r="194" spans="1:25" hidden="1">
      <c r="A194" s="101"/>
      <c r="B194" s="101">
        <v>20260423</v>
      </c>
      <c r="C194" s="101">
        <v>100000530</v>
      </c>
      <c r="D194" s="101" t="s">
        <v>521</v>
      </c>
      <c r="E194" s="101" t="s">
        <v>522</v>
      </c>
      <c r="F194" s="101" t="s">
        <v>715</v>
      </c>
      <c r="G194" s="101">
        <v>40</v>
      </c>
      <c r="H194" s="101">
        <v>2.25</v>
      </c>
      <c r="I194" s="101" t="s">
        <v>193</v>
      </c>
      <c r="J194" s="101"/>
      <c r="K194" s="101"/>
      <c r="L194" s="101" t="s">
        <v>717</v>
      </c>
      <c r="M194" s="101"/>
      <c r="N194" s="101">
        <v>1021</v>
      </c>
      <c r="O194" s="101"/>
      <c r="P194" s="101" t="s">
        <v>539</v>
      </c>
      <c r="Q194" s="101" t="s">
        <v>716</v>
      </c>
      <c r="R194" s="101"/>
      <c r="S194" s="101"/>
      <c r="T194" s="101"/>
      <c r="U194" s="101"/>
      <c r="V194" s="101" t="s">
        <v>40</v>
      </c>
      <c r="W194" s="101">
        <v>4501501</v>
      </c>
      <c r="X194" t="str">
        <f t="shared" si="2"/>
        <v>Others</v>
      </c>
      <c r="Y194">
        <v>2202.5</v>
      </c>
    </row>
    <row r="195" spans="1:25" hidden="1">
      <c r="A195" s="101"/>
      <c r="B195" s="101">
        <v>20260423</v>
      </c>
      <c r="C195" s="101">
        <v>100000531</v>
      </c>
      <c r="D195" s="101" t="s">
        <v>521</v>
      </c>
      <c r="E195" s="101" t="s">
        <v>522</v>
      </c>
      <c r="F195" s="101" t="s">
        <v>715</v>
      </c>
      <c r="G195" s="101">
        <v>40</v>
      </c>
      <c r="H195" s="101">
        <v>2.25</v>
      </c>
      <c r="I195" s="101" t="s">
        <v>193</v>
      </c>
      <c r="J195" s="101"/>
      <c r="K195" s="101"/>
      <c r="L195" s="101" t="s">
        <v>719</v>
      </c>
      <c r="M195" s="101"/>
      <c r="N195" s="101">
        <v>1021</v>
      </c>
      <c r="O195" s="101"/>
      <c r="P195" s="101" t="s">
        <v>539</v>
      </c>
      <c r="Q195" s="101" t="s">
        <v>716</v>
      </c>
      <c r="R195" s="101"/>
      <c r="S195" s="101"/>
      <c r="T195" s="101"/>
      <c r="U195" s="101"/>
      <c r="V195" s="101" t="s">
        <v>40</v>
      </c>
      <c r="W195" s="101">
        <v>4501501</v>
      </c>
      <c r="X195" t="str">
        <f t="shared" ref="X195:X258" si="3">VLOOKUP(L195,L:P,5,FALSE)</f>
        <v>Others</v>
      </c>
      <c r="Y195">
        <v>2202.5</v>
      </c>
    </row>
    <row r="196" spans="1:25" hidden="1">
      <c r="A196" s="101"/>
      <c r="B196" s="101">
        <v>20260423</v>
      </c>
      <c r="C196" s="101">
        <v>100000532</v>
      </c>
      <c r="D196" s="101" t="s">
        <v>521</v>
      </c>
      <c r="E196" s="101" t="s">
        <v>522</v>
      </c>
      <c r="F196" s="101" t="s">
        <v>715</v>
      </c>
      <c r="G196" s="101">
        <v>40</v>
      </c>
      <c r="H196" s="101">
        <v>2.25</v>
      </c>
      <c r="I196" s="101" t="s">
        <v>193</v>
      </c>
      <c r="J196" s="101"/>
      <c r="K196" s="101"/>
      <c r="L196" s="101" t="s">
        <v>719</v>
      </c>
      <c r="M196" s="101"/>
      <c r="N196" s="101">
        <v>1021</v>
      </c>
      <c r="O196" s="101"/>
      <c r="P196" s="101" t="s">
        <v>539</v>
      </c>
      <c r="Q196" s="101" t="s">
        <v>716</v>
      </c>
      <c r="R196" s="101"/>
      <c r="S196" s="101"/>
      <c r="T196" s="101"/>
      <c r="U196" s="101"/>
      <c r="V196" s="101" t="s">
        <v>40</v>
      </c>
      <c r="W196" s="101">
        <v>4501501</v>
      </c>
      <c r="X196" t="str">
        <f t="shared" si="3"/>
        <v>Others</v>
      </c>
      <c r="Y196">
        <v>2202.5</v>
      </c>
    </row>
    <row r="197" spans="1:25" hidden="1">
      <c r="A197" s="101"/>
      <c r="B197" s="101">
        <v>20260423</v>
      </c>
      <c r="C197" s="101">
        <v>100000533</v>
      </c>
      <c r="D197" s="101" t="s">
        <v>521</v>
      </c>
      <c r="E197" s="101" t="s">
        <v>522</v>
      </c>
      <c r="F197" s="101" t="s">
        <v>715</v>
      </c>
      <c r="G197" s="101">
        <v>40</v>
      </c>
      <c r="H197" s="101">
        <v>2.25</v>
      </c>
      <c r="I197" s="101" t="s">
        <v>193</v>
      </c>
      <c r="J197" s="101"/>
      <c r="K197" s="101"/>
      <c r="L197" s="101" t="s">
        <v>719</v>
      </c>
      <c r="M197" s="101"/>
      <c r="N197" s="101">
        <v>1021</v>
      </c>
      <c r="O197" s="101"/>
      <c r="P197" s="101" t="s">
        <v>539</v>
      </c>
      <c r="Q197" s="101" t="s">
        <v>716</v>
      </c>
      <c r="R197" s="101"/>
      <c r="S197" s="101"/>
      <c r="T197" s="101"/>
      <c r="U197" s="101"/>
      <c r="V197" s="101" t="s">
        <v>40</v>
      </c>
      <c r="W197" s="101">
        <v>4501501</v>
      </c>
      <c r="X197" t="str">
        <f t="shared" si="3"/>
        <v>Others</v>
      </c>
      <c r="Y197">
        <v>181172.59</v>
      </c>
    </row>
    <row r="198" spans="1:25" hidden="1">
      <c r="A198" s="101"/>
      <c r="B198" s="101">
        <v>20260423</v>
      </c>
      <c r="C198" s="101">
        <v>100000534</v>
      </c>
      <c r="D198" s="101" t="s">
        <v>521</v>
      </c>
      <c r="E198" s="101" t="s">
        <v>522</v>
      </c>
      <c r="F198" s="101" t="s">
        <v>715</v>
      </c>
      <c r="G198" s="101">
        <v>40</v>
      </c>
      <c r="H198" s="101">
        <v>2.25</v>
      </c>
      <c r="I198" s="101" t="s">
        <v>193</v>
      </c>
      <c r="J198" s="101"/>
      <c r="K198" s="101"/>
      <c r="L198" s="101" t="s">
        <v>719</v>
      </c>
      <c r="M198" s="101"/>
      <c r="N198" s="101">
        <v>1021</v>
      </c>
      <c r="O198" s="101"/>
      <c r="P198" s="101" t="s">
        <v>539</v>
      </c>
      <c r="Q198" s="101" t="s">
        <v>716</v>
      </c>
      <c r="R198" s="101"/>
      <c r="S198" s="101"/>
      <c r="T198" s="101"/>
      <c r="U198" s="101"/>
      <c r="V198" s="101" t="s">
        <v>40</v>
      </c>
      <c r="W198" s="101">
        <v>4501501</v>
      </c>
      <c r="X198" t="str">
        <f t="shared" si="3"/>
        <v>Others</v>
      </c>
      <c r="Y198">
        <v>80778.83</v>
      </c>
    </row>
    <row r="199" spans="1:25" hidden="1">
      <c r="A199" s="101"/>
      <c r="B199" s="101">
        <v>20260423</v>
      </c>
      <c r="C199" s="101">
        <v>100000535</v>
      </c>
      <c r="D199" s="101" t="s">
        <v>521</v>
      </c>
      <c r="E199" s="101" t="s">
        <v>522</v>
      </c>
      <c r="F199" s="101" t="s">
        <v>715</v>
      </c>
      <c r="G199" s="101">
        <v>40</v>
      </c>
      <c r="H199" s="101">
        <v>2.25</v>
      </c>
      <c r="I199" s="101" t="s">
        <v>193</v>
      </c>
      <c r="J199" s="101"/>
      <c r="K199" s="101"/>
      <c r="L199" s="101" t="s">
        <v>719</v>
      </c>
      <c r="M199" s="101"/>
      <c r="N199" s="101">
        <v>1021</v>
      </c>
      <c r="O199" s="101"/>
      <c r="P199" s="101" t="s">
        <v>539</v>
      </c>
      <c r="Q199" s="101" t="s">
        <v>716</v>
      </c>
      <c r="R199" s="101"/>
      <c r="S199" s="101"/>
      <c r="T199" s="101"/>
      <c r="U199" s="101"/>
      <c r="V199" s="101" t="s">
        <v>40</v>
      </c>
      <c r="W199" s="101">
        <v>4501501</v>
      </c>
      <c r="X199" t="str">
        <f t="shared" si="3"/>
        <v>Others</v>
      </c>
      <c r="Y199">
        <v>2600</v>
      </c>
    </row>
    <row r="200" spans="1:25" hidden="1">
      <c r="A200" s="101"/>
      <c r="B200" s="101">
        <v>20260423</v>
      </c>
      <c r="C200" s="101">
        <v>100000536</v>
      </c>
      <c r="D200" s="101" t="s">
        <v>521</v>
      </c>
      <c r="E200" s="101" t="s">
        <v>522</v>
      </c>
      <c r="F200" s="101" t="s">
        <v>715</v>
      </c>
      <c r="G200" s="101">
        <v>40</v>
      </c>
      <c r="H200" s="101">
        <v>2.25</v>
      </c>
      <c r="I200" s="101" t="s">
        <v>193</v>
      </c>
      <c r="J200" s="101"/>
      <c r="K200" s="101"/>
      <c r="L200" s="101" t="s">
        <v>719</v>
      </c>
      <c r="M200" s="101"/>
      <c r="N200" s="101">
        <v>1021</v>
      </c>
      <c r="O200" s="101"/>
      <c r="P200" s="101" t="s">
        <v>539</v>
      </c>
      <c r="Q200" s="101" t="s">
        <v>716</v>
      </c>
      <c r="R200" s="101"/>
      <c r="S200" s="101"/>
      <c r="T200" s="101"/>
      <c r="U200" s="101"/>
      <c r="V200" s="101" t="s">
        <v>40</v>
      </c>
      <c r="W200" s="101">
        <v>4501501</v>
      </c>
      <c r="X200" t="str">
        <f t="shared" si="3"/>
        <v>Others</v>
      </c>
      <c r="Y200">
        <v>25049.93</v>
      </c>
    </row>
    <row r="201" spans="1:25" hidden="1">
      <c r="A201" s="101"/>
      <c r="B201" s="101">
        <v>20260423</v>
      </c>
      <c r="C201" s="101">
        <v>1900000350</v>
      </c>
      <c r="D201" s="101" t="s">
        <v>521</v>
      </c>
      <c r="E201" s="101" t="s">
        <v>535</v>
      </c>
      <c r="F201" s="101" t="s">
        <v>715</v>
      </c>
      <c r="G201" s="101">
        <v>40</v>
      </c>
      <c r="H201" s="101">
        <v>21.89</v>
      </c>
      <c r="I201" s="101" t="s">
        <v>193</v>
      </c>
      <c r="J201" s="101">
        <v>13</v>
      </c>
      <c r="K201" s="101"/>
      <c r="L201" s="101" t="s">
        <v>720</v>
      </c>
      <c r="M201" s="101"/>
      <c r="N201" s="101">
        <v>1021</v>
      </c>
      <c r="O201" s="101"/>
      <c r="P201" s="101" t="s">
        <v>539</v>
      </c>
      <c r="Q201" s="101" t="s">
        <v>721</v>
      </c>
      <c r="R201" s="101"/>
      <c r="S201" s="101"/>
      <c r="T201" s="101"/>
      <c r="U201" s="101"/>
      <c r="V201" s="101" t="s">
        <v>40</v>
      </c>
      <c r="W201" s="101">
        <v>4501501</v>
      </c>
      <c r="X201" t="str">
        <f t="shared" si="3"/>
        <v>Others</v>
      </c>
      <c r="Y201">
        <v>124934.78</v>
      </c>
    </row>
    <row r="202" spans="1:25" hidden="1">
      <c r="A202" s="101"/>
      <c r="B202" s="101">
        <v>20260423</v>
      </c>
      <c r="C202" s="101">
        <v>1900000351</v>
      </c>
      <c r="D202" s="101" t="s">
        <v>521</v>
      </c>
      <c r="E202" s="101" t="s">
        <v>535</v>
      </c>
      <c r="F202" s="101" t="s">
        <v>715</v>
      </c>
      <c r="G202" s="101">
        <v>40</v>
      </c>
      <c r="H202" s="103">
        <v>2576.4</v>
      </c>
      <c r="I202" s="101" t="s">
        <v>193</v>
      </c>
      <c r="J202" s="101">
        <v>13</v>
      </c>
      <c r="K202" s="101"/>
      <c r="L202" s="101" t="s">
        <v>722</v>
      </c>
      <c r="M202" s="101"/>
      <c r="N202" s="101">
        <v>1021</v>
      </c>
      <c r="O202" s="101"/>
      <c r="P202" s="101" t="s">
        <v>539</v>
      </c>
      <c r="Q202" s="101" t="s">
        <v>723</v>
      </c>
      <c r="R202" s="101"/>
      <c r="S202" s="101"/>
      <c r="T202" s="101"/>
      <c r="U202" s="101"/>
      <c r="V202" s="101" t="s">
        <v>40</v>
      </c>
      <c r="W202" s="101">
        <v>4501501</v>
      </c>
      <c r="X202" t="str">
        <f t="shared" si="3"/>
        <v>Others</v>
      </c>
      <c r="Y202">
        <v>563681.21</v>
      </c>
    </row>
    <row r="203" spans="1:25" hidden="1">
      <c r="A203" s="101"/>
      <c r="B203" s="101">
        <v>20260423</v>
      </c>
      <c r="C203" s="101">
        <v>1900000352</v>
      </c>
      <c r="D203" s="101" t="s">
        <v>521</v>
      </c>
      <c r="E203" s="101" t="s">
        <v>535</v>
      </c>
      <c r="F203" s="101" t="s">
        <v>715</v>
      </c>
      <c r="G203" s="101">
        <v>40</v>
      </c>
      <c r="H203" s="101">
        <v>150.11000000000001</v>
      </c>
      <c r="I203" s="101" t="s">
        <v>193</v>
      </c>
      <c r="J203" s="101">
        <v>13</v>
      </c>
      <c r="K203" s="101"/>
      <c r="L203" s="101" t="s">
        <v>724</v>
      </c>
      <c r="M203" s="101"/>
      <c r="N203" s="101">
        <v>1021</v>
      </c>
      <c r="O203" s="101"/>
      <c r="P203" s="101" t="s">
        <v>539</v>
      </c>
      <c r="Q203" s="101" t="s">
        <v>725</v>
      </c>
      <c r="R203" s="101"/>
      <c r="S203" s="101"/>
      <c r="T203" s="101"/>
      <c r="U203" s="101"/>
      <c r="V203" s="101" t="s">
        <v>40</v>
      </c>
      <c r="W203" s="101">
        <v>4501501</v>
      </c>
      <c r="X203" t="str">
        <f t="shared" si="3"/>
        <v>Others</v>
      </c>
      <c r="Y203">
        <v>122492.04</v>
      </c>
    </row>
    <row r="204" spans="1:25" hidden="1">
      <c r="A204" s="101"/>
      <c r="B204" s="101">
        <v>20260423</v>
      </c>
      <c r="C204" s="101">
        <v>1900000353</v>
      </c>
      <c r="D204" s="101" t="s">
        <v>521</v>
      </c>
      <c r="E204" s="101" t="s">
        <v>535</v>
      </c>
      <c r="F204" s="101" t="s">
        <v>715</v>
      </c>
      <c r="G204" s="101">
        <v>40</v>
      </c>
      <c r="H204" s="101">
        <v>110.49</v>
      </c>
      <c r="I204" s="101" t="s">
        <v>193</v>
      </c>
      <c r="J204" s="101">
        <v>13</v>
      </c>
      <c r="K204" s="101"/>
      <c r="L204" s="101" t="s">
        <v>726</v>
      </c>
      <c r="M204" s="101"/>
      <c r="N204" s="101">
        <v>1021</v>
      </c>
      <c r="O204" s="101"/>
      <c r="P204" s="101" t="s">
        <v>539</v>
      </c>
      <c r="Q204" s="101" t="s">
        <v>727</v>
      </c>
      <c r="R204" s="101"/>
      <c r="S204" s="101"/>
      <c r="T204" s="101"/>
      <c r="U204" s="101"/>
      <c r="V204" s="101" t="s">
        <v>40</v>
      </c>
      <c r="W204" s="101">
        <v>4501501</v>
      </c>
      <c r="X204" t="str">
        <f t="shared" si="3"/>
        <v>Others</v>
      </c>
      <c r="Y204">
        <v>94678.1</v>
      </c>
    </row>
    <row r="205" spans="1:25" hidden="1">
      <c r="A205" s="101"/>
      <c r="B205" s="101">
        <v>20260423</v>
      </c>
      <c r="C205" s="101">
        <v>1900000354</v>
      </c>
      <c r="D205" s="101" t="s">
        <v>521</v>
      </c>
      <c r="E205" s="101" t="s">
        <v>535</v>
      </c>
      <c r="F205" s="101" t="s">
        <v>715</v>
      </c>
      <c r="G205" s="101">
        <v>40</v>
      </c>
      <c r="H205" s="103">
        <v>1755.7</v>
      </c>
      <c r="I205" s="101" t="s">
        <v>193</v>
      </c>
      <c r="J205" s="101">
        <v>13</v>
      </c>
      <c r="K205" s="101"/>
      <c r="L205" s="101" t="s">
        <v>728</v>
      </c>
      <c r="M205" s="101"/>
      <c r="N205" s="101">
        <v>1021</v>
      </c>
      <c r="O205" s="101"/>
      <c r="P205" s="101" t="s">
        <v>539</v>
      </c>
      <c r="Q205" s="101" t="s">
        <v>729</v>
      </c>
      <c r="R205" s="101"/>
      <c r="S205" s="101"/>
      <c r="T205" s="101"/>
      <c r="U205" s="101"/>
      <c r="V205" s="101" t="s">
        <v>40</v>
      </c>
      <c r="W205" s="101">
        <v>4501501</v>
      </c>
      <c r="X205" t="str">
        <f t="shared" si="3"/>
        <v>Others</v>
      </c>
      <c r="Y205">
        <v>43840.02</v>
      </c>
    </row>
    <row r="206" spans="1:25" hidden="1">
      <c r="A206" s="101"/>
      <c r="B206" s="101">
        <v>20260423</v>
      </c>
      <c r="C206" s="101">
        <v>1900000410</v>
      </c>
      <c r="D206" s="101" t="s">
        <v>534</v>
      </c>
      <c r="E206" s="101" t="s">
        <v>535</v>
      </c>
      <c r="F206" s="101" t="s">
        <v>715</v>
      </c>
      <c r="G206" s="101">
        <v>40</v>
      </c>
      <c r="H206" s="101">
        <v>100</v>
      </c>
      <c r="I206" s="101" t="s">
        <v>193</v>
      </c>
      <c r="J206" s="101">
        <v>13</v>
      </c>
      <c r="K206" s="101"/>
      <c r="L206" s="101">
        <v>22052866</v>
      </c>
      <c r="M206" s="101"/>
      <c r="N206" s="101">
        <v>3010</v>
      </c>
      <c r="O206" s="101"/>
      <c r="P206" s="101" t="s">
        <v>539</v>
      </c>
      <c r="Q206" s="101" t="s">
        <v>730</v>
      </c>
      <c r="R206" s="101"/>
      <c r="S206" s="101"/>
      <c r="T206" s="101"/>
      <c r="U206" s="101"/>
      <c r="V206" s="101" t="s">
        <v>40</v>
      </c>
      <c r="W206" s="101">
        <v>4501501</v>
      </c>
      <c r="X206" t="str">
        <f t="shared" si="3"/>
        <v>Others</v>
      </c>
      <c r="Y206">
        <v>53363.03</v>
      </c>
    </row>
    <row r="207" spans="1:25" hidden="1">
      <c r="A207" s="101"/>
      <c r="B207" s="101">
        <v>20260423</v>
      </c>
      <c r="C207" s="101">
        <v>1900000433</v>
      </c>
      <c r="D207" s="101" t="s">
        <v>534</v>
      </c>
      <c r="E207" s="101" t="s">
        <v>535</v>
      </c>
      <c r="F207" s="101" t="s">
        <v>715</v>
      </c>
      <c r="G207" s="101">
        <v>40</v>
      </c>
      <c r="H207" s="101">
        <v>49.5</v>
      </c>
      <c r="I207" s="101" t="s">
        <v>193</v>
      </c>
      <c r="J207" s="101">
        <v>13</v>
      </c>
      <c r="K207" s="101"/>
      <c r="L207" s="101" t="s">
        <v>538</v>
      </c>
      <c r="M207" s="101"/>
      <c r="N207" s="101">
        <v>3010</v>
      </c>
      <c r="O207" s="101"/>
      <c r="P207" s="101" t="s">
        <v>539</v>
      </c>
      <c r="Q207" s="101" t="s">
        <v>538</v>
      </c>
      <c r="R207" s="101"/>
      <c r="S207" s="101"/>
      <c r="T207" s="101"/>
      <c r="U207" s="101"/>
      <c r="V207" s="101" t="s">
        <v>40</v>
      </c>
      <c r="W207" s="101">
        <v>4501501</v>
      </c>
      <c r="X207" t="str">
        <f t="shared" si="3"/>
        <v>Others</v>
      </c>
      <c r="Y207">
        <v>2600</v>
      </c>
    </row>
    <row r="208" spans="1:25" hidden="1">
      <c r="A208" s="101"/>
      <c r="B208" s="101">
        <v>20260423</v>
      </c>
      <c r="C208" s="101">
        <v>1900000435</v>
      </c>
      <c r="D208" s="101" t="s">
        <v>534</v>
      </c>
      <c r="E208" s="101" t="s">
        <v>535</v>
      </c>
      <c r="F208" s="101" t="s">
        <v>715</v>
      </c>
      <c r="G208" s="101">
        <v>40</v>
      </c>
      <c r="H208" s="101">
        <v>49.5</v>
      </c>
      <c r="I208" s="101" t="s">
        <v>193</v>
      </c>
      <c r="J208" s="101">
        <v>13</v>
      </c>
      <c r="K208" s="101"/>
      <c r="L208" s="101" t="s">
        <v>538</v>
      </c>
      <c r="M208" s="101"/>
      <c r="N208" s="101">
        <v>3010</v>
      </c>
      <c r="O208" s="101"/>
      <c r="P208" s="101" t="s">
        <v>539</v>
      </c>
      <c r="Q208" s="101" t="s">
        <v>538</v>
      </c>
      <c r="R208" s="101"/>
      <c r="S208" s="101"/>
      <c r="T208" s="101"/>
      <c r="U208" s="101"/>
      <c r="V208" s="101" t="s">
        <v>40</v>
      </c>
      <c r="W208" s="101">
        <v>4501501</v>
      </c>
      <c r="X208" t="str">
        <f t="shared" si="3"/>
        <v>Others</v>
      </c>
      <c r="Y208">
        <v>10382.75</v>
      </c>
    </row>
    <row r="209" spans="1:25" hidden="1">
      <c r="A209" s="101"/>
      <c r="B209" s="101">
        <v>20260423</v>
      </c>
      <c r="C209" s="101">
        <v>1900000436</v>
      </c>
      <c r="D209" s="101" t="s">
        <v>534</v>
      </c>
      <c r="E209" s="101" t="s">
        <v>535</v>
      </c>
      <c r="F209" s="101" t="s">
        <v>715</v>
      </c>
      <c r="G209" s="101">
        <v>40</v>
      </c>
      <c r="H209" s="101">
        <v>49.5</v>
      </c>
      <c r="I209" s="101" t="s">
        <v>193</v>
      </c>
      <c r="J209" s="101">
        <v>13</v>
      </c>
      <c r="K209" s="101"/>
      <c r="L209" s="101" t="s">
        <v>538</v>
      </c>
      <c r="M209" s="101"/>
      <c r="N209" s="101">
        <v>3010</v>
      </c>
      <c r="O209" s="101"/>
      <c r="P209" s="101" t="s">
        <v>539</v>
      </c>
      <c r="Q209" s="101" t="s">
        <v>538</v>
      </c>
      <c r="R209" s="101"/>
      <c r="S209" s="101"/>
      <c r="T209" s="101"/>
      <c r="U209" s="101"/>
      <c r="V209" s="101" t="s">
        <v>40</v>
      </c>
      <c r="W209" s="101">
        <v>4501501</v>
      </c>
      <c r="X209" t="str">
        <f t="shared" si="3"/>
        <v>Others</v>
      </c>
      <c r="Y209">
        <v>15389.24</v>
      </c>
    </row>
    <row r="210" spans="1:25" hidden="1">
      <c r="A210" s="101"/>
      <c r="B210" s="101">
        <v>20260423</v>
      </c>
      <c r="C210" s="101">
        <v>1900000438</v>
      </c>
      <c r="D210" s="101" t="s">
        <v>534</v>
      </c>
      <c r="E210" s="101" t="s">
        <v>535</v>
      </c>
      <c r="F210" s="101" t="s">
        <v>713</v>
      </c>
      <c r="G210" s="101">
        <v>40</v>
      </c>
      <c r="H210" s="101">
        <v>49.5</v>
      </c>
      <c r="I210" s="101" t="s">
        <v>193</v>
      </c>
      <c r="J210" s="101">
        <v>13</v>
      </c>
      <c r="K210" s="101"/>
      <c r="L210" s="101" t="s">
        <v>538</v>
      </c>
      <c r="M210" s="101"/>
      <c r="N210" s="101">
        <v>3010</v>
      </c>
      <c r="O210" s="101"/>
      <c r="P210" s="101" t="s">
        <v>539</v>
      </c>
      <c r="Q210" s="101" t="s">
        <v>538</v>
      </c>
      <c r="R210" s="101"/>
      <c r="S210" s="101"/>
      <c r="T210" s="101"/>
      <c r="U210" s="101"/>
      <c r="V210" s="101" t="s">
        <v>40</v>
      </c>
      <c r="W210" s="101">
        <v>4501501</v>
      </c>
      <c r="X210" t="str">
        <f t="shared" si="3"/>
        <v>Others</v>
      </c>
      <c r="Y210">
        <v>100</v>
      </c>
    </row>
    <row r="211" spans="1:25" hidden="1">
      <c r="A211" s="101"/>
      <c r="B211" s="101">
        <v>20260423</v>
      </c>
      <c r="C211" s="101">
        <v>1900000540</v>
      </c>
      <c r="D211" s="101" t="s">
        <v>534</v>
      </c>
      <c r="E211" s="101" t="s">
        <v>535</v>
      </c>
      <c r="F211" s="101" t="s">
        <v>715</v>
      </c>
      <c r="G211" s="101">
        <v>40</v>
      </c>
      <c r="H211" s="103">
        <v>4500</v>
      </c>
      <c r="I211" s="101" t="s">
        <v>193</v>
      </c>
      <c r="J211" s="101">
        <v>1</v>
      </c>
      <c r="K211" s="101"/>
      <c r="L211" s="101" t="s">
        <v>160</v>
      </c>
      <c r="M211" s="101"/>
      <c r="N211" s="101">
        <v>3010</v>
      </c>
      <c r="O211" s="101"/>
      <c r="P211" s="101" t="s">
        <v>608</v>
      </c>
      <c r="Q211" s="101" t="s">
        <v>731</v>
      </c>
      <c r="R211" s="101"/>
      <c r="S211" s="101"/>
      <c r="T211" s="101"/>
      <c r="U211" s="101"/>
      <c r="V211" s="101" t="s">
        <v>40</v>
      </c>
      <c r="W211" s="101">
        <v>4501501</v>
      </c>
      <c r="X211" t="str">
        <f t="shared" si="3"/>
        <v>LC Sales</v>
      </c>
      <c r="Y211">
        <v>100</v>
      </c>
    </row>
    <row r="212" spans="1:25" hidden="1">
      <c r="A212" s="101"/>
      <c r="B212" s="101">
        <v>20260423</v>
      </c>
      <c r="C212" s="101">
        <v>1900000557</v>
      </c>
      <c r="D212" s="101" t="s">
        <v>534</v>
      </c>
      <c r="E212" s="101" t="s">
        <v>535</v>
      </c>
      <c r="F212" s="101" t="s">
        <v>715</v>
      </c>
      <c r="G212" s="101">
        <v>40</v>
      </c>
      <c r="H212" s="103">
        <v>4500</v>
      </c>
      <c r="I212" s="101" t="s">
        <v>193</v>
      </c>
      <c r="J212" s="101">
        <v>1</v>
      </c>
      <c r="K212" s="101"/>
      <c r="L212" s="101" t="s">
        <v>156</v>
      </c>
      <c r="M212" s="101"/>
      <c r="N212" s="101">
        <v>3010</v>
      </c>
      <c r="O212" s="101"/>
      <c r="P212" s="101" t="s">
        <v>608</v>
      </c>
      <c r="Q212" s="101" t="s">
        <v>732</v>
      </c>
      <c r="R212" s="101"/>
      <c r="S212" s="101"/>
      <c r="T212" s="101"/>
      <c r="U212" s="101"/>
      <c r="V212" s="101" t="s">
        <v>40</v>
      </c>
      <c r="W212" s="101">
        <v>4501501</v>
      </c>
      <c r="X212" t="str">
        <f t="shared" si="3"/>
        <v>LC Sales</v>
      </c>
      <c r="Y212">
        <v>2202.5</v>
      </c>
    </row>
    <row r="213" spans="1:25" hidden="1">
      <c r="A213" s="101"/>
      <c r="B213" s="101">
        <v>20260423</v>
      </c>
      <c r="C213" s="101">
        <v>1900000558</v>
      </c>
      <c r="D213" s="101" t="s">
        <v>534</v>
      </c>
      <c r="E213" s="101" t="s">
        <v>535</v>
      </c>
      <c r="F213" s="101" t="s">
        <v>715</v>
      </c>
      <c r="G213" s="101">
        <v>40</v>
      </c>
      <c r="H213" s="101">
        <v>100</v>
      </c>
      <c r="I213" s="101" t="s">
        <v>193</v>
      </c>
      <c r="J213" s="101">
        <v>1</v>
      </c>
      <c r="K213" s="101"/>
      <c r="L213" s="101" t="s">
        <v>229</v>
      </c>
      <c r="M213" s="101"/>
      <c r="N213" s="101">
        <v>3010</v>
      </c>
      <c r="O213" s="101"/>
      <c r="P213" s="101" t="s">
        <v>669</v>
      </c>
      <c r="Q213" s="101" t="s">
        <v>583</v>
      </c>
      <c r="R213" s="101"/>
      <c r="S213" s="101"/>
      <c r="T213" s="101"/>
      <c r="U213" s="101"/>
      <c r="V213" s="101" t="s">
        <v>40</v>
      </c>
      <c r="W213" s="101">
        <v>4501501</v>
      </c>
      <c r="X213" t="str">
        <f t="shared" si="3"/>
        <v xml:space="preserve">LC </v>
      </c>
      <c r="Y213">
        <v>2202.5</v>
      </c>
    </row>
    <row r="214" spans="1:25" hidden="1">
      <c r="A214" s="101"/>
      <c r="B214" s="101">
        <v>20260424</v>
      </c>
      <c r="C214" s="101">
        <v>100000223</v>
      </c>
      <c r="D214" s="101" t="s">
        <v>521</v>
      </c>
      <c r="E214" s="101" t="s">
        <v>522</v>
      </c>
      <c r="F214" s="101" t="s">
        <v>733</v>
      </c>
      <c r="G214" s="101">
        <v>40</v>
      </c>
      <c r="H214" s="103">
        <v>25049.93</v>
      </c>
      <c r="I214" s="101" t="s">
        <v>193</v>
      </c>
      <c r="J214" s="101"/>
      <c r="K214" s="101"/>
      <c r="L214" s="101" t="s">
        <v>261</v>
      </c>
      <c r="M214" s="101"/>
      <c r="N214" s="101">
        <v>1021</v>
      </c>
      <c r="O214" s="101"/>
      <c r="P214" s="101" t="s">
        <v>523</v>
      </c>
      <c r="Q214" s="101" t="s">
        <v>734</v>
      </c>
      <c r="R214" s="101"/>
      <c r="S214" s="101"/>
      <c r="T214" s="101"/>
      <c r="U214" s="101"/>
      <c r="V214" s="101" t="s">
        <v>40</v>
      </c>
      <c r="W214" s="101">
        <v>4501501</v>
      </c>
      <c r="X214" t="str">
        <f t="shared" si="3"/>
        <v>Retirement Chgs</v>
      </c>
      <c r="Y214">
        <v>2202.5</v>
      </c>
    </row>
    <row r="215" spans="1:25" hidden="1">
      <c r="A215" s="101"/>
      <c r="B215" s="101">
        <v>20260424</v>
      </c>
      <c r="C215" s="101">
        <v>1900000268</v>
      </c>
      <c r="D215" s="101" t="s">
        <v>534</v>
      </c>
      <c r="E215" s="101" t="s">
        <v>535</v>
      </c>
      <c r="F215" s="101" t="s">
        <v>733</v>
      </c>
      <c r="G215" s="101">
        <v>40</v>
      </c>
      <c r="H215" s="103">
        <v>4500</v>
      </c>
      <c r="I215" s="101" t="s">
        <v>193</v>
      </c>
      <c r="J215" s="101">
        <v>1</v>
      </c>
      <c r="K215" s="101"/>
      <c r="L215" s="101" t="s">
        <v>164</v>
      </c>
      <c r="M215" s="101"/>
      <c r="N215" s="101">
        <v>3010</v>
      </c>
      <c r="O215" s="101"/>
      <c r="P215" s="101" t="s">
        <v>608</v>
      </c>
      <c r="Q215" s="101" t="s">
        <v>735</v>
      </c>
      <c r="R215" s="101"/>
      <c r="S215" s="101"/>
      <c r="T215" s="101"/>
      <c r="U215" s="101"/>
      <c r="V215" s="101" t="s">
        <v>40</v>
      </c>
      <c r="W215" s="101">
        <v>4501501</v>
      </c>
      <c r="X215" t="str">
        <f t="shared" si="3"/>
        <v>LC Sales</v>
      </c>
      <c r="Y215">
        <v>1750</v>
      </c>
    </row>
    <row r="216" spans="1:25" hidden="1">
      <c r="A216" s="101"/>
      <c r="B216" s="101">
        <v>20260424</v>
      </c>
      <c r="C216" s="101">
        <v>1900000269</v>
      </c>
      <c r="D216" s="101" t="s">
        <v>534</v>
      </c>
      <c r="E216" s="101" t="s">
        <v>535</v>
      </c>
      <c r="F216" s="101" t="s">
        <v>733</v>
      </c>
      <c r="G216" s="101">
        <v>40</v>
      </c>
      <c r="H216" s="103">
        <v>4500</v>
      </c>
      <c r="I216" s="101" t="s">
        <v>193</v>
      </c>
      <c r="J216" s="101">
        <v>1</v>
      </c>
      <c r="K216" s="101"/>
      <c r="L216" s="101" t="s">
        <v>167</v>
      </c>
      <c r="M216" s="101"/>
      <c r="N216" s="101">
        <v>3010</v>
      </c>
      <c r="O216" s="101"/>
      <c r="P216" s="101" t="s">
        <v>608</v>
      </c>
      <c r="Q216" s="101" t="s">
        <v>736</v>
      </c>
      <c r="R216" s="101"/>
      <c r="S216" s="101"/>
      <c r="T216" s="101"/>
      <c r="U216" s="101"/>
      <c r="V216" s="101" t="s">
        <v>40</v>
      </c>
      <c r="W216" s="101">
        <v>4501501</v>
      </c>
      <c r="X216" t="str">
        <f t="shared" si="3"/>
        <v>LC Sales</v>
      </c>
      <c r="Y216">
        <v>1750</v>
      </c>
    </row>
    <row r="217" spans="1:25" hidden="1">
      <c r="A217" s="101"/>
      <c r="B217" s="101">
        <v>20260424</v>
      </c>
      <c r="C217" s="101">
        <v>1900000271</v>
      </c>
      <c r="D217" s="101" t="s">
        <v>534</v>
      </c>
      <c r="E217" s="101" t="s">
        <v>535</v>
      </c>
      <c r="F217" s="101" t="s">
        <v>733</v>
      </c>
      <c r="G217" s="101">
        <v>40</v>
      </c>
      <c r="H217" s="103">
        <v>4500</v>
      </c>
      <c r="I217" s="101" t="s">
        <v>193</v>
      </c>
      <c r="J217" s="101">
        <v>1</v>
      </c>
      <c r="K217" s="101"/>
      <c r="L217" s="101" t="s">
        <v>170</v>
      </c>
      <c r="M217" s="101"/>
      <c r="N217" s="101">
        <v>3010</v>
      </c>
      <c r="O217" s="101"/>
      <c r="P217" s="101" t="s">
        <v>608</v>
      </c>
      <c r="Q217" s="101" t="s">
        <v>737</v>
      </c>
      <c r="R217" s="101"/>
      <c r="S217" s="101"/>
      <c r="T217" s="101"/>
      <c r="U217" s="101"/>
      <c r="V217" s="101" t="s">
        <v>40</v>
      </c>
      <c r="W217" s="101">
        <v>4501501</v>
      </c>
      <c r="X217" t="str">
        <f t="shared" si="3"/>
        <v>LC Sales</v>
      </c>
      <c r="Y217">
        <v>654388.47999999998</v>
      </c>
    </row>
    <row r="218" spans="1:25" hidden="1">
      <c r="A218" s="101"/>
      <c r="B218" s="101">
        <v>20260424</v>
      </c>
      <c r="C218" s="101">
        <v>1900000273</v>
      </c>
      <c r="D218" s="101" t="s">
        <v>534</v>
      </c>
      <c r="E218" s="101" t="s">
        <v>535</v>
      </c>
      <c r="F218" s="101" t="s">
        <v>733</v>
      </c>
      <c r="G218" s="101">
        <v>40</v>
      </c>
      <c r="H218" s="103">
        <v>4500</v>
      </c>
      <c r="I218" s="101" t="s">
        <v>193</v>
      </c>
      <c r="J218" s="101">
        <v>1</v>
      </c>
      <c r="K218" s="101"/>
      <c r="L218" s="101" t="s">
        <v>172</v>
      </c>
      <c r="M218" s="101"/>
      <c r="N218" s="101">
        <v>3010</v>
      </c>
      <c r="O218" s="101"/>
      <c r="P218" s="101" t="s">
        <v>608</v>
      </c>
      <c r="Q218" s="101" t="s">
        <v>738</v>
      </c>
      <c r="R218" s="101"/>
      <c r="S218" s="101"/>
      <c r="T218" s="101"/>
      <c r="U218" s="101"/>
      <c r="V218" s="101" t="s">
        <v>40</v>
      </c>
      <c r="W218" s="101">
        <v>4501501</v>
      </c>
      <c r="X218" t="str">
        <f t="shared" si="3"/>
        <v>LC Sales</v>
      </c>
      <c r="Y218">
        <v>147208.01999999999</v>
      </c>
    </row>
    <row r="219" spans="1:25" hidden="1">
      <c r="A219" s="101"/>
      <c r="B219" s="101">
        <v>20260424</v>
      </c>
      <c r="C219" s="101">
        <v>1900000275</v>
      </c>
      <c r="D219" s="101" t="s">
        <v>534</v>
      </c>
      <c r="E219" s="101" t="s">
        <v>535</v>
      </c>
      <c r="F219" s="101" t="s">
        <v>733</v>
      </c>
      <c r="G219" s="101">
        <v>40</v>
      </c>
      <c r="H219" s="103">
        <v>4500</v>
      </c>
      <c r="I219" s="101" t="s">
        <v>193</v>
      </c>
      <c r="J219" s="101">
        <v>1</v>
      </c>
      <c r="K219" s="101"/>
      <c r="L219" s="101" t="s">
        <v>178</v>
      </c>
      <c r="M219" s="101"/>
      <c r="N219" s="101">
        <v>3010</v>
      </c>
      <c r="O219" s="101"/>
      <c r="P219" s="101" t="s">
        <v>608</v>
      </c>
      <c r="Q219" s="101" t="s">
        <v>739</v>
      </c>
      <c r="R219" s="101"/>
      <c r="S219" s="101"/>
      <c r="T219" s="101"/>
      <c r="U219" s="101"/>
      <c r="V219" s="101" t="s">
        <v>40</v>
      </c>
      <c r="W219" s="101">
        <v>4501501</v>
      </c>
      <c r="X219" t="str">
        <f t="shared" si="3"/>
        <v>LC Sales</v>
      </c>
      <c r="Y219">
        <v>326.87</v>
      </c>
    </row>
    <row r="220" spans="1:25" hidden="1">
      <c r="A220" s="101"/>
      <c r="B220" s="101">
        <v>20260424</v>
      </c>
      <c r="C220" s="101">
        <v>1900000284</v>
      </c>
      <c r="D220" s="101" t="s">
        <v>534</v>
      </c>
      <c r="E220" s="101" t="s">
        <v>535</v>
      </c>
      <c r="F220" s="101" t="s">
        <v>733</v>
      </c>
      <c r="G220" s="101">
        <v>40</v>
      </c>
      <c r="H220" s="103">
        <v>2000</v>
      </c>
      <c r="I220" s="101" t="s">
        <v>193</v>
      </c>
      <c r="J220" s="101"/>
      <c r="K220" s="101"/>
      <c r="L220" s="101" t="s">
        <v>740</v>
      </c>
      <c r="M220" s="101"/>
      <c r="N220" s="101">
        <v>3010</v>
      </c>
      <c r="O220" s="101"/>
      <c r="P220" s="101" t="s">
        <v>741</v>
      </c>
      <c r="Q220" s="101" t="s">
        <v>742</v>
      </c>
      <c r="R220" s="101"/>
      <c r="S220" s="101"/>
      <c r="T220" s="101"/>
      <c r="U220" s="101"/>
      <c r="V220" s="101" t="s">
        <v>40</v>
      </c>
      <c r="W220" s="101">
        <v>4501501</v>
      </c>
      <c r="X220" t="str">
        <f t="shared" si="3"/>
        <v>PCFC</v>
      </c>
      <c r="Y220">
        <v>326.87</v>
      </c>
    </row>
    <row r="221" spans="1:25" hidden="1">
      <c r="A221" s="101"/>
      <c r="B221" s="101">
        <v>20260424</v>
      </c>
      <c r="C221" s="101">
        <v>1900000287</v>
      </c>
      <c r="D221" s="101" t="s">
        <v>534</v>
      </c>
      <c r="E221" s="101" t="s">
        <v>535</v>
      </c>
      <c r="F221" s="101" t="s">
        <v>733</v>
      </c>
      <c r="G221" s="101">
        <v>40</v>
      </c>
      <c r="H221" s="101">
        <v>100</v>
      </c>
      <c r="I221" s="101" t="s">
        <v>193</v>
      </c>
      <c r="J221" s="101">
        <v>1</v>
      </c>
      <c r="K221" s="101"/>
      <c r="L221" s="101" t="s">
        <v>230</v>
      </c>
      <c r="M221" s="101"/>
      <c r="N221" s="101">
        <v>3010</v>
      </c>
      <c r="O221" s="101"/>
      <c r="P221" s="101" t="s">
        <v>651</v>
      </c>
      <c r="Q221" s="101" t="s">
        <v>583</v>
      </c>
      <c r="R221" s="101"/>
      <c r="S221" s="101"/>
      <c r="T221" s="101"/>
      <c r="U221" s="101"/>
      <c r="V221" s="101" t="s">
        <v>40</v>
      </c>
      <c r="W221" s="101">
        <v>4501501</v>
      </c>
      <c r="X221" t="str">
        <f t="shared" si="3"/>
        <v>LC</v>
      </c>
      <c r="Y221">
        <v>2202.5</v>
      </c>
    </row>
    <row r="222" spans="1:25" hidden="1">
      <c r="A222" s="101"/>
      <c r="B222" s="101">
        <v>20260424</v>
      </c>
      <c r="C222" s="101">
        <v>1900000355</v>
      </c>
      <c r="D222" s="101" t="s">
        <v>521</v>
      </c>
      <c r="E222" s="101" t="s">
        <v>535</v>
      </c>
      <c r="F222" s="101" t="s">
        <v>733</v>
      </c>
      <c r="G222" s="101">
        <v>40</v>
      </c>
      <c r="H222" s="101">
        <v>296.64999999999998</v>
      </c>
      <c r="I222" s="101" t="s">
        <v>193</v>
      </c>
      <c r="J222" s="101">
        <v>13</v>
      </c>
      <c r="K222" s="101"/>
      <c r="L222" s="101" t="s">
        <v>743</v>
      </c>
      <c r="M222" s="101"/>
      <c r="N222" s="101">
        <v>1021</v>
      </c>
      <c r="O222" s="101"/>
      <c r="P222" s="101" t="s">
        <v>539</v>
      </c>
      <c r="Q222" s="101" t="s">
        <v>744</v>
      </c>
      <c r="R222" s="101"/>
      <c r="S222" s="101"/>
      <c r="T222" s="101"/>
      <c r="U222" s="101"/>
      <c r="V222" s="101" t="s">
        <v>40</v>
      </c>
      <c r="W222" s="101">
        <v>4501501</v>
      </c>
      <c r="X222" t="str">
        <f t="shared" si="3"/>
        <v>Others</v>
      </c>
      <c r="Y222">
        <v>5250</v>
      </c>
    </row>
    <row r="223" spans="1:25" hidden="1">
      <c r="A223" s="101"/>
      <c r="B223" s="101">
        <v>20260424</v>
      </c>
      <c r="C223" s="101">
        <v>1900000356</v>
      </c>
      <c r="D223" s="101" t="s">
        <v>521</v>
      </c>
      <c r="E223" s="101" t="s">
        <v>535</v>
      </c>
      <c r="F223" s="101" t="s">
        <v>733</v>
      </c>
      <c r="G223" s="101">
        <v>40</v>
      </c>
      <c r="H223" s="101">
        <v>439.69</v>
      </c>
      <c r="I223" s="101" t="s">
        <v>193</v>
      </c>
      <c r="J223" s="101">
        <v>13</v>
      </c>
      <c r="K223" s="101"/>
      <c r="L223" s="101" t="s">
        <v>745</v>
      </c>
      <c r="M223" s="101"/>
      <c r="N223" s="101">
        <v>1021</v>
      </c>
      <c r="O223" s="101"/>
      <c r="P223" s="101" t="s">
        <v>539</v>
      </c>
      <c r="Q223" s="101" t="s">
        <v>746</v>
      </c>
      <c r="R223" s="101"/>
      <c r="S223" s="101"/>
      <c r="T223" s="101"/>
      <c r="U223" s="101"/>
      <c r="V223" s="101" t="s">
        <v>40</v>
      </c>
      <c r="W223" s="101">
        <v>4501501</v>
      </c>
      <c r="X223" t="str">
        <f t="shared" si="3"/>
        <v>Others</v>
      </c>
      <c r="Y223">
        <v>5250</v>
      </c>
    </row>
    <row r="224" spans="1:25" hidden="1">
      <c r="A224" s="101"/>
      <c r="B224" s="101">
        <v>20260424</v>
      </c>
      <c r="C224" s="101">
        <v>1900000411</v>
      </c>
      <c r="D224" s="101" t="s">
        <v>534</v>
      </c>
      <c r="E224" s="101" t="s">
        <v>535</v>
      </c>
      <c r="F224" s="101" t="s">
        <v>733</v>
      </c>
      <c r="G224" s="101">
        <v>40</v>
      </c>
      <c r="H224" s="101">
        <v>100</v>
      </c>
      <c r="I224" s="101" t="s">
        <v>193</v>
      </c>
      <c r="J224" s="101">
        <v>13</v>
      </c>
      <c r="K224" s="101"/>
      <c r="L224" s="101">
        <v>22063927</v>
      </c>
      <c r="M224" s="101"/>
      <c r="N224" s="101">
        <v>3010</v>
      </c>
      <c r="O224" s="101"/>
      <c r="P224" s="101" t="s">
        <v>539</v>
      </c>
      <c r="Q224" s="101" t="s">
        <v>747</v>
      </c>
      <c r="R224" s="101"/>
      <c r="S224" s="101"/>
      <c r="T224" s="101"/>
      <c r="U224" s="101"/>
      <c r="V224" s="101" t="s">
        <v>40</v>
      </c>
      <c r="W224" s="101">
        <v>4501501</v>
      </c>
      <c r="X224" t="str">
        <f t="shared" si="3"/>
        <v>Others</v>
      </c>
      <c r="Y224">
        <v>5250</v>
      </c>
    </row>
    <row r="225" spans="1:25" hidden="1">
      <c r="A225" s="101"/>
      <c r="B225" s="101">
        <v>20260424</v>
      </c>
      <c r="C225" s="101">
        <v>1900000412</v>
      </c>
      <c r="D225" s="101" t="s">
        <v>534</v>
      </c>
      <c r="E225" s="101" t="s">
        <v>535</v>
      </c>
      <c r="F225" s="101" t="s">
        <v>733</v>
      </c>
      <c r="G225" s="101">
        <v>40</v>
      </c>
      <c r="H225" s="101">
        <v>100</v>
      </c>
      <c r="I225" s="101" t="s">
        <v>193</v>
      </c>
      <c r="J225" s="101">
        <v>13</v>
      </c>
      <c r="K225" s="101"/>
      <c r="L225" s="101">
        <v>22066489</v>
      </c>
      <c r="M225" s="101"/>
      <c r="N225" s="101">
        <v>3010</v>
      </c>
      <c r="O225" s="101"/>
      <c r="P225" s="101" t="s">
        <v>539</v>
      </c>
      <c r="Q225" s="101" t="s">
        <v>748</v>
      </c>
      <c r="R225" s="101"/>
      <c r="S225" s="101"/>
      <c r="T225" s="101"/>
      <c r="U225" s="101"/>
      <c r="V225" s="101" t="s">
        <v>40</v>
      </c>
      <c r="W225" s="101">
        <v>4501501</v>
      </c>
      <c r="X225" t="str">
        <f t="shared" si="3"/>
        <v>Others</v>
      </c>
      <c r="Y225">
        <v>48407.22</v>
      </c>
    </row>
    <row r="226" spans="1:25" hidden="1">
      <c r="A226" s="101"/>
      <c r="B226" s="101">
        <v>20260424</v>
      </c>
      <c r="C226" s="101">
        <v>1900000430</v>
      </c>
      <c r="D226" s="101" t="s">
        <v>534</v>
      </c>
      <c r="E226" s="101" t="s">
        <v>535</v>
      </c>
      <c r="F226" s="101" t="s">
        <v>733</v>
      </c>
      <c r="G226" s="101">
        <v>40</v>
      </c>
      <c r="H226" s="101">
        <v>49.5</v>
      </c>
      <c r="I226" s="101" t="s">
        <v>193</v>
      </c>
      <c r="J226" s="101">
        <v>13</v>
      </c>
      <c r="K226" s="101"/>
      <c r="L226" s="101" t="s">
        <v>538</v>
      </c>
      <c r="M226" s="101"/>
      <c r="N226" s="101">
        <v>3010</v>
      </c>
      <c r="O226" s="101"/>
      <c r="P226" s="101" t="s">
        <v>539</v>
      </c>
      <c r="Q226" s="101" t="s">
        <v>538</v>
      </c>
      <c r="R226" s="101"/>
      <c r="S226" s="101"/>
      <c r="T226" s="101"/>
      <c r="U226" s="101"/>
      <c r="V226" s="101" t="s">
        <v>40</v>
      </c>
      <c r="W226" s="101">
        <v>4501501</v>
      </c>
      <c r="X226" t="str">
        <f t="shared" si="3"/>
        <v>Others</v>
      </c>
      <c r="Y226">
        <v>5678</v>
      </c>
    </row>
    <row r="227" spans="1:25" hidden="1">
      <c r="A227" s="101"/>
      <c r="B227" s="101">
        <v>20260424</v>
      </c>
      <c r="C227" s="101">
        <v>1900000431</v>
      </c>
      <c r="D227" s="101" t="s">
        <v>534</v>
      </c>
      <c r="E227" s="101" t="s">
        <v>535</v>
      </c>
      <c r="F227" s="101" t="s">
        <v>733</v>
      </c>
      <c r="G227" s="101">
        <v>40</v>
      </c>
      <c r="H227" s="101">
        <v>49.5</v>
      </c>
      <c r="I227" s="101" t="s">
        <v>193</v>
      </c>
      <c r="J227" s="101">
        <v>13</v>
      </c>
      <c r="K227" s="101"/>
      <c r="L227" s="101" t="s">
        <v>538</v>
      </c>
      <c r="M227" s="101"/>
      <c r="N227" s="101">
        <v>3010</v>
      </c>
      <c r="O227" s="101"/>
      <c r="P227" s="101" t="s">
        <v>539</v>
      </c>
      <c r="Q227" s="101" t="s">
        <v>538</v>
      </c>
      <c r="R227" s="101"/>
      <c r="S227" s="101"/>
      <c r="T227" s="101"/>
      <c r="U227" s="101"/>
      <c r="V227" s="101" t="s">
        <v>40</v>
      </c>
      <c r="W227" s="101">
        <v>4501501</v>
      </c>
      <c r="X227" t="str">
        <f t="shared" si="3"/>
        <v>Others</v>
      </c>
      <c r="Y227">
        <v>2600</v>
      </c>
    </row>
    <row r="228" spans="1:25" hidden="1">
      <c r="A228" s="101"/>
      <c r="B228" s="101">
        <v>20260424</v>
      </c>
      <c r="C228" s="101">
        <v>1900000432</v>
      </c>
      <c r="D228" s="101" t="s">
        <v>534</v>
      </c>
      <c r="E228" s="101" t="s">
        <v>535</v>
      </c>
      <c r="F228" s="101" t="s">
        <v>733</v>
      </c>
      <c r="G228" s="101">
        <v>40</v>
      </c>
      <c r="H228" s="101">
        <v>49.5</v>
      </c>
      <c r="I228" s="101" t="s">
        <v>193</v>
      </c>
      <c r="J228" s="101">
        <v>13</v>
      </c>
      <c r="K228" s="101"/>
      <c r="L228" s="101" t="s">
        <v>538</v>
      </c>
      <c r="M228" s="101"/>
      <c r="N228" s="101">
        <v>3010</v>
      </c>
      <c r="O228" s="101"/>
      <c r="P228" s="101" t="s">
        <v>539</v>
      </c>
      <c r="Q228" s="101" t="s">
        <v>538</v>
      </c>
      <c r="R228" s="101"/>
      <c r="S228" s="101"/>
      <c r="T228" s="101"/>
      <c r="U228" s="101"/>
      <c r="V228" s="101" t="s">
        <v>40</v>
      </c>
      <c r="W228" s="101">
        <v>4501501</v>
      </c>
      <c r="X228" t="str">
        <f t="shared" si="3"/>
        <v>Others</v>
      </c>
      <c r="Y228">
        <v>2600</v>
      </c>
    </row>
    <row r="229" spans="1:25" hidden="1">
      <c r="A229" s="101"/>
      <c r="B229" s="101">
        <v>20260424</v>
      </c>
      <c r="C229" s="101">
        <v>1900000444</v>
      </c>
      <c r="D229" s="101" t="s">
        <v>534</v>
      </c>
      <c r="E229" s="101" t="s">
        <v>535</v>
      </c>
      <c r="F229" s="101" t="s">
        <v>733</v>
      </c>
      <c r="G229" s="101">
        <v>40</v>
      </c>
      <c r="H229" s="103">
        <v>1250</v>
      </c>
      <c r="I229" s="101" t="s">
        <v>193</v>
      </c>
      <c r="J229" s="101">
        <v>13</v>
      </c>
      <c r="K229" s="101"/>
      <c r="L229" s="101" t="s">
        <v>486</v>
      </c>
      <c r="M229" s="101"/>
      <c r="N229" s="101">
        <v>3010</v>
      </c>
      <c r="O229" s="101"/>
      <c r="P229" s="101" t="s">
        <v>539</v>
      </c>
      <c r="Q229" s="101" t="s">
        <v>707</v>
      </c>
      <c r="R229" s="101"/>
      <c r="S229" s="101"/>
      <c r="T229" s="101"/>
      <c r="U229" s="101"/>
      <c r="V229" s="101" t="s">
        <v>40</v>
      </c>
      <c r="W229" s="101">
        <v>4501501</v>
      </c>
      <c r="X229" t="str">
        <f t="shared" si="3"/>
        <v>Others</v>
      </c>
      <c r="Y229">
        <v>12304.22</v>
      </c>
    </row>
    <row r="230" spans="1:25" hidden="1">
      <c r="A230" s="101"/>
      <c r="B230" s="101">
        <v>20260424</v>
      </c>
      <c r="C230" s="101">
        <v>1900000444</v>
      </c>
      <c r="D230" s="101" t="s">
        <v>534</v>
      </c>
      <c r="E230" s="101" t="s">
        <v>535</v>
      </c>
      <c r="F230" s="101" t="s">
        <v>733</v>
      </c>
      <c r="G230" s="101">
        <v>40</v>
      </c>
      <c r="H230" s="101">
        <v>500</v>
      </c>
      <c r="I230" s="101" t="s">
        <v>193</v>
      </c>
      <c r="J230" s="101">
        <v>13</v>
      </c>
      <c r="K230" s="101"/>
      <c r="L230" s="101" t="s">
        <v>486</v>
      </c>
      <c r="M230" s="101"/>
      <c r="N230" s="101">
        <v>3010</v>
      </c>
      <c r="O230" s="101"/>
      <c r="P230" s="101" t="s">
        <v>539</v>
      </c>
      <c r="Q230" s="101" t="s">
        <v>542</v>
      </c>
      <c r="R230" s="101"/>
      <c r="S230" s="101"/>
      <c r="T230" s="101"/>
      <c r="U230" s="101"/>
      <c r="V230" s="101" t="s">
        <v>40</v>
      </c>
      <c r="W230" s="101">
        <v>4501501</v>
      </c>
      <c r="X230" t="str">
        <f t="shared" si="3"/>
        <v>Others</v>
      </c>
      <c r="Y230">
        <v>24238.61</v>
      </c>
    </row>
    <row r="231" spans="1:25" hidden="1">
      <c r="A231" s="101"/>
      <c r="B231" s="101">
        <v>20260424</v>
      </c>
      <c r="C231" s="101">
        <v>1900000667</v>
      </c>
      <c r="D231" s="101" t="s">
        <v>534</v>
      </c>
      <c r="E231" s="101" t="s">
        <v>535</v>
      </c>
      <c r="F231" s="101" t="s">
        <v>733</v>
      </c>
      <c r="G231" s="101">
        <v>40</v>
      </c>
      <c r="H231" s="103">
        <v>1000</v>
      </c>
      <c r="I231" s="101" t="s">
        <v>193</v>
      </c>
      <c r="J231" s="101">
        <v>1</v>
      </c>
      <c r="K231" s="101"/>
      <c r="L231" s="101" t="s">
        <v>378</v>
      </c>
      <c r="M231" s="214" t="s">
        <v>380</v>
      </c>
      <c r="N231" s="101">
        <v>3010</v>
      </c>
      <c r="O231" s="101"/>
      <c r="P231" s="101" t="s">
        <v>536</v>
      </c>
      <c r="Q231" s="101" t="s">
        <v>542</v>
      </c>
      <c r="R231" s="101"/>
      <c r="S231" s="101"/>
      <c r="T231" s="101"/>
      <c r="U231" s="101"/>
      <c r="V231" s="101" t="s">
        <v>40</v>
      </c>
      <c r="W231" s="101">
        <v>4501501</v>
      </c>
      <c r="X231" t="str">
        <f t="shared" si="3"/>
        <v>LC Chgs</v>
      </c>
      <c r="Y231">
        <v>244095.41</v>
      </c>
    </row>
    <row r="232" spans="1:25" hidden="1">
      <c r="A232" s="101"/>
      <c r="B232" s="101">
        <v>20260427</v>
      </c>
      <c r="C232" s="101">
        <v>1900000264</v>
      </c>
      <c r="D232" s="101" t="s">
        <v>534</v>
      </c>
      <c r="E232" s="101" t="s">
        <v>535</v>
      </c>
      <c r="F232" s="101" t="s">
        <v>749</v>
      </c>
      <c r="G232" s="101">
        <v>40</v>
      </c>
      <c r="H232" s="103">
        <v>4500</v>
      </c>
      <c r="I232" s="101" t="s">
        <v>193</v>
      </c>
      <c r="J232" s="101">
        <v>1</v>
      </c>
      <c r="K232" s="101"/>
      <c r="L232" s="101" t="s">
        <v>176</v>
      </c>
      <c r="M232" s="101"/>
      <c r="N232" s="101">
        <v>3010</v>
      </c>
      <c r="O232" s="101"/>
      <c r="P232" s="101" t="s">
        <v>608</v>
      </c>
      <c r="Q232" s="101" t="s">
        <v>750</v>
      </c>
      <c r="R232" s="101"/>
      <c r="S232" s="101"/>
      <c r="T232" s="101"/>
      <c r="U232" s="101"/>
      <c r="V232" s="101" t="s">
        <v>40</v>
      </c>
      <c r="W232" s="101">
        <v>4501501</v>
      </c>
      <c r="X232" t="str">
        <f t="shared" si="3"/>
        <v>LC Sales</v>
      </c>
      <c r="Y232">
        <v>73.75</v>
      </c>
    </row>
    <row r="233" spans="1:25" hidden="1">
      <c r="A233" s="101"/>
      <c r="B233" s="101">
        <v>20260427</v>
      </c>
      <c r="C233" s="101">
        <v>1900000407</v>
      </c>
      <c r="D233" s="101" t="s">
        <v>534</v>
      </c>
      <c r="E233" s="101" t="s">
        <v>535</v>
      </c>
      <c r="F233" s="101" t="s">
        <v>749</v>
      </c>
      <c r="G233" s="101">
        <v>40</v>
      </c>
      <c r="H233" s="101">
        <v>211.87</v>
      </c>
      <c r="I233" s="101" t="s">
        <v>193</v>
      </c>
      <c r="J233" s="101">
        <v>13</v>
      </c>
      <c r="K233" s="101"/>
      <c r="L233" s="101">
        <v>24789291</v>
      </c>
      <c r="M233" s="101"/>
      <c r="N233" s="101">
        <v>3010</v>
      </c>
      <c r="O233" s="101"/>
      <c r="P233" s="101" t="s">
        <v>539</v>
      </c>
      <c r="Q233" s="101" t="s">
        <v>751</v>
      </c>
      <c r="R233" s="101"/>
      <c r="S233" s="101"/>
      <c r="T233" s="101"/>
      <c r="U233" s="101"/>
      <c r="V233" s="101" t="s">
        <v>40</v>
      </c>
      <c r="W233" s="101">
        <v>4501501</v>
      </c>
      <c r="X233" t="str">
        <f t="shared" si="3"/>
        <v>Others</v>
      </c>
      <c r="Y233">
        <v>3000</v>
      </c>
    </row>
    <row r="234" spans="1:25" hidden="1">
      <c r="A234" s="101"/>
      <c r="B234" s="101">
        <v>20260427</v>
      </c>
      <c r="C234" s="101">
        <v>1900000407</v>
      </c>
      <c r="D234" s="101" t="s">
        <v>534</v>
      </c>
      <c r="E234" s="101" t="s">
        <v>535</v>
      </c>
      <c r="F234" s="101" t="s">
        <v>749</v>
      </c>
      <c r="G234" s="101">
        <v>40</v>
      </c>
      <c r="H234" s="101">
        <v>115</v>
      </c>
      <c r="I234" s="101" t="s">
        <v>193</v>
      </c>
      <c r="J234" s="101"/>
      <c r="K234" s="101"/>
      <c r="L234" s="101">
        <v>24789291</v>
      </c>
      <c r="M234" s="101"/>
      <c r="N234" s="101">
        <v>3010</v>
      </c>
      <c r="O234" s="101"/>
      <c r="P234" s="101" t="s">
        <v>539</v>
      </c>
      <c r="Q234" s="101" t="s">
        <v>752</v>
      </c>
      <c r="R234" s="101"/>
      <c r="S234" s="101"/>
      <c r="T234" s="101"/>
      <c r="U234" s="101"/>
      <c r="V234" s="101" t="s">
        <v>40</v>
      </c>
      <c r="W234" s="101">
        <v>4501501</v>
      </c>
      <c r="X234" t="str">
        <f t="shared" si="3"/>
        <v>Others</v>
      </c>
      <c r="Y234">
        <v>2202.5</v>
      </c>
    </row>
    <row r="235" spans="1:25" hidden="1">
      <c r="A235" s="101"/>
      <c r="B235" s="101">
        <v>20260427</v>
      </c>
      <c r="C235" s="101">
        <v>1900000429</v>
      </c>
      <c r="D235" s="101" t="s">
        <v>534</v>
      </c>
      <c r="E235" s="101" t="s">
        <v>535</v>
      </c>
      <c r="F235" s="101" t="s">
        <v>749</v>
      </c>
      <c r="G235" s="101">
        <v>40</v>
      </c>
      <c r="H235" s="101">
        <v>49.5</v>
      </c>
      <c r="I235" s="101" t="s">
        <v>193</v>
      </c>
      <c r="J235" s="101">
        <v>13</v>
      </c>
      <c r="K235" s="101"/>
      <c r="L235" s="101" t="s">
        <v>538</v>
      </c>
      <c r="M235" s="101"/>
      <c r="N235" s="101">
        <v>3010</v>
      </c>
      <c r="O235" s="101"/>
      <c r="P235" s="101" t="s">
        <v>539</v>
      </c>
      <c r="Q235" s="101" t="s">
        <v>538</v>
      </c>
      <c r="R235" s="101"/>
      <c r="S235" s="101"/>
      <c r="T235" s="101"/>
      <c r="U235" s="101"/>
      <c r="V235" s="101" t="s">
        <v>40</v>
      </c>
      <c r="W235" s="101">
        <v>4501501</v>
      </c>
      <c r="X235" t="str">
        <f t="shared" si="3"/>
        <v>Others</v>
      </c>
      <c r="Y235">
        <v>2202.5</v>
      </c>
    </row>
    <row r="236" spans="1:25" hidden="1">
      <c r="A236" s="101"/>
      <c r="B236" s="101">
        <v>20260427</v>
      </c>
      <c r="C236" s="101">
        <v>1900000441</v>
      </c>
      <c r="D236" s="101" t="s">
        <v>534</v>
      </c>
      <c r="E236" s="101" t="s">
        <v>535</v>
      </c>
      <c r="F236" s="101" t="s">
        <v>749</v>
      </c>
      <c r="G236" s="101">
        <v>40</v>
      </c>
      <c r="H236" s="101">
        <v>500</v>
      </c>
      <c r="I236" s="101" t="s">
        <v>193</v>
      </c>
      <c r="J236" s="101">
        <v>13</v>
      </c>
      <c r="K236" s="101"/>
      <c r="L236" s="101" t="s">
        <v>753</v>
      </c>
      <c r="M236" s="101" t="s">
        <v>479</v>
      </c>
      <c r="N236" s="101">
        <v>3010</v>
      </c>
      <c r="O236" s="101"/>
      <c r="P236" s="101" t="s">
        <v>536</v>
      </c>
      <c r="Q236" s="101" t="s">
        <v>754</v>
      </c>
      <c r="R236" s="101"/>
      <c r="S236" s="101"/>
      <c r="T236" s="101"/>
      <c r="U236" s="101"/>
      <c r="V236" s="101" t="s">
        <v>40</v>
      </c>
      <c r="W236" s="101">
        <v>4501501</v>
      </c>
      <c r="X236" t="str">
        <f t="shared" si="3"/>
        <v>LC Chgs</v>
      </c>
      <c r="Y236">
        <v>2202.5</v>
      </c>
    </row>
    <row r="237" spans="1:25" hidden="1">
      <c r="A237" s="101"/>
      <c r="B237" s="101">
        <v>20260427</v>
      </c>
      <c r="C237" s="101">
        <v>1900000442</v>
      </c>
      <c r="D237" s="101" t="s">
        <v>534</v>
      </c>
      <c r="E237" s="101" t="s">
        <v>535</v>
      </c>
      <c r="F237" s="101" t="s">
        <v>749</v>
      </c>
      <c r="G237" s="101">
        <v>40</v>
      </c>
      <c r="H237" s="101">
        <v>500</v>
      </c>
      <c r="I237" s="101" t="s">
        <v>193</v>
      </c>
      <c r="J237" s="101">
        <v>13</v>
      </c>
      <c r="K237" s="101"/>
      <c r="L237" s="101" t="s">
        <v>753</v>
      </c>
      <c r="M237" s="101" t="s">
        <v>482</v>
      </c>
      <c r="N237" s="101">
        <v>3010</v>
      </c>
      <c r="O237" s="101"/>
      <c r="P237" s="101" t="s">
        <v>536</v>
      </c>
      <c r="Q237" s="101" t="s">
        <v>754</v>
      </c>
      <c r="R237" s="101"/>
      <c r="S237" s="101"/>
      <c r="T237" s="101"/>
      <c r="U237" s="101"/>
      <c r="V237" s="101" t="s">
        <v>40</v>
      </c>
      <c r="W237" s="101">
        <v>4501501</v>
      </c>
      <c r="X237" t="str">
        <f t="shared" si="3"/>
        <v>LC Chgs</v>
      </c>
      <c r="Y237">
        <v>2202.5</v>
      </c>
    </row>
    <row r="238" spans="1:25" hidden="1">
      <c r="A238" s="101"/>
      <c r="B238" s="101">
        <v>20260427</v>
      </c>
      <c r="C238" s="101">
        <v>1900000443</v>
      </c>
      <c r="D238" s="101" t="s">
        <v>534</v>
      </c>
      <c r="E238" s="101" t="s">
        <v>535</v>
      </c>
      <c r="F238" s="101" t="s">
        <v>749</v>
      </c>
      <c r="G238" s="101">
        <v>40</v>
      </c>
      <c r="H238" s="101">
        <v>500</v>
      </c>
      <c r="I238" s="101" t="s">
        <v>193</v>
      </c>
      <c r="J238" s="101">
        <v>13</v>
      </c>
      <c r="K238" s="101"/>
      <c r="L238" s="101" t="s">
        <v>753</v>
      </c>
      <c r="M238" s="101" t="s">
        <v>484</v>
      </c>
      <c r="N238" s="101">
        <v>3010</v>
      </c>
      <c r="O238" s="101"/>
      <c r="P238" s="101" t="s">
        <v>536</v>
      </c>
      <c r="Q238" s="101" t="s">
        <v>754</v>
      </c>
      <c r="R238" s="101"/>
      <c r="S238" s="101"/>
      <c r="T238" s="101"/>
      <c r="U238" s="101"/>
      <c r="V238" s="101" t="s">
        <v>40</v>
      </c>
      <c r="W238" s="101">
        <v>4501501</v>
      </c>
      <c r="X238" t="str">
        <f t="shared" si="3"/>
        <v>LC Chgs</v>
      </c>
      <c r="Y238">
        <v>2202.5</v>
      </c>
    </row>
    <row r="239" spans="1:25" hidden="1">
      <c r="A239" s="101"/>
      <c r="B239" s="101">
        <v>20260428</v>
      </c>
      <c r="C239" s="101">
        <v>100000301</v>
      </c>
      <c r="D239" s="101" t="s">
        <v>521</v>
      </c>
      <c r="E239" s="101" t="s">
        <v>522</v>
      </c>
      <c r="F239" s="101" t="s">
        <v>755</v>
      </c>
      <c r="G239" s="101">
        <v>40</v>
      </c>
      <c r="H239" s="103">
        <v>48407.22</v>
      </c>
      <c r="I239" s="101" t="s">
        <v>193</v>
      </c>
      <c r="J239" s="101"/>
      <c r="K239" s="101"/>
      <c r="L239" s="101" t="s">
        <v>259</v>
      </c>
      <c r="M239" s="101"/>
      <c r="N239" s="101">
        <v>1021</v>
      </c>
      <c r="O239" s="101"/>
      <c r="P239" s="101" t="s">
        <v>523</v>
      </c>
      <c r="Q239" s="101" t="s">
        <v>756</v>
      </c>
      <c r="R239" s="101"/>
      <c r="S239" s="101"/>
      <c r="T239" s="101"/>
      <c r="U239" s="101"/>
      <c r="V239" s="101" t="s">
        <v>40</v>
      </c>
      <c r="W239" s="101">
        <v>4501501</v>
      </c>
      <c r="X239" t="str">
        <f t="shared" si="3"/>
        <v>Retirement Chgs</v>
      </c>
      <c r="Y239">
        <v>6264.5</v>
      </c>
    </row>
    <row r="240" spans="1:25" hidden="1">
      <c r="A240" s="101"/>
      <c r="B240" s="101">
        <v>20260428</v>
      </c>
      <c r="C240" s="101">
        <v>100000302</v>
      </c>
      <c r="D240" s="101" t="s">
        <v>521</v>
      </c>
      <c r="E240" s="101" t="s">
        <v>522</v>
      </c>
      <c r="F240" s="101" t="s">
        <v>755</v>
      </c>
      <c r="G240" s="101">
        <v>40</v>
      </c>
      <c r="H240" s="103">
        <v>5678</v>
      </c>
      <c r="I240" s="101" t="s">
        <v>193</v>
      </c>
      <c r="J240" s="101"/>
      <c r="K240" s="101"/>
      <c r="L240" s="101" t="s">
        <v>260</v>
      </c>
      <c r="M240" s="101"/>
      <c r="N240" s="101">
        <v>1021</v>
      </c>
      <c r="O240" s="101"/>
      <c r="P240" s="101" t="s">
        <v>523</v>
      </c>
      <c r="Q240" s="101" t="s">
        <v>757</v>
      </c>
      <c r="R240" s="101"/>
      <c r="S240" s="101"/>
      <c r="T240" s="101"/>
      <c r="U240" s="101"/>
      <c r="V240" s="101" t="s">
        <v>40</v>
      </c>
      <c r="W240" s="101">
        <v>4501501</v>
      </c>
      <c r="X240" t="str">
        <f t="shared" si="3"/>
        <v>Retirement Chgs</v>
      </c>
      <c r="Y240">
        <v>3415</v>
      </c>
    </row>
    <row r="241" spans="1:25" hidden="1">
      <c r="A241" s="101"/>
      <c r="B241" s="101">
        <v>20260428</v>
      </c>
      <c r="C241" s="101">
        <v>1900000290</v>
      </c>
      <c r="D241" s="101" t="s">
        <v>534</v>
      </c>
      <c r="E241" s="101" t="s">
        <v>535</v>
      </c>
      <c r="F241" s="101" t="s">
        <v>755</v>
      </c>
      <c r="G241" s="101">
        <v>40</v>
      </c>
      <c r="H241" s="101">
        <v>100</v>
      </c>
      <c r="I241" s="101" t="s">
        <v>193</v>
      </c>
      <c r="J241" s="101">
        <v>1</v>
      </c>
      <c r="K241" s="101"/>
      <c r="L241" s="101" t="s">
        <v>231</v>
      </c>
      <c r="M241" s="101"/>
      <c r="N241" s="101">
        <v>3010</v>
      </c>
      <c r="O241" s="101"/>
      <c r="P241" s="101" t="s">
        <v>651</v>
      </c>
      <c r="Q241" s="101" t="s">
        <v>583</v>
      </c>
      <c r="R241" s="101"/>
      <c r="S241" s="101"/>
      <c r="T241" s="101"/>
      <c r="U241" s="101"/>
      <c r="V241" s="101" t="s">
        <v>40</v>
      </c>
      <c r="W241" s="101">
        <v>4501501</v>
      </c>
      <c r="X241" t="str">
        <f t="shared" si="3"/>
        <v>LC</v>
      </c>
      <c r="Y241">
        <v>68974.97</v>
      </c>
    </row>
    <row r="242" spans="1:25" hidden="1">
      <c r="A242" s="101"/>
      <c r="B242" s="101">
        <v>20260428</v>
      </c>
      <c r="C242" s="101">
        <v>1900000291</v>
      </c>
      <c r="D242" s="101" t="s">
        <v>534</v>
      </c>
      <c r="E242" s="101" t="s">
        <v>535</v>
      </c>
      <c r="F242" s="101" t="s">
        <v>755</v>
      </c>
      <c r="G242" s="101">
        <v>40</v>
      </c>
      <c r="H242" s="101">
        <v>100</v>
      </c>
      <c r="I242" s="101" t="s">
        <v>193</v>
      </c>
      <c r="J242" s="101">
        <v>1</v>
      </c>
      <c r="K242" s="101"/>
      <c r="L242" s="101" t="s">
        <v>232</v>
      </c>
      <c r="M242" s="101"/>
      <c r="N242" s="101">
        <v>3010</v>
      </c>
      <c r="O242" s="101"/>
      <c r="P242" s="101" t="s">
        <v>651</v>
      </c>
      <c r="Q242" s="101" t="s">
        <v>583</v>
      </c>
      <c r="R242" s="101"/>
      <c r="S242" s="101"/>
      <c r="T242" s="101"/>
      <c r="U242" s="101"/>
      <c r="V242" s="101" t="s">
        <v>40</v>
      </c>
      <c r="W242" s="101">
        <v>4501501</v>
      </c>
      <c r="X242" t="str">
        <f t="shared" si="3"/>
        <v>LC</v>
      </c>
      <c r="Y242">
        <v>80261.81</v>
      </c>
    </row>
    <row r="243" spans="1:25" hidden="1">
      <c r="A243" s="101"/>
      <c r="B243" s="101">
        <v>20260428</v>
      </c>
      <c r="C243" s="101">
        <v>1900000357</v>
      </c>
      <c r="D243" s="101" t="s">
        <v>521</v>
      </c>
      <c r="E243" s="101" t="s">
        <v>535</v>
      </c>
      <c r="F243" s="101" t="s">
        <v>755</v>
      </c>
      <c r="G243" s="101">
        <v>40</v>
      </c>
      <c r="H243" s="101">
        <v>351.55</v>
      </c>
      <c r="I243" s="101" t="s">
        <v>193</v>
      </c>
      <c r="J243" s="101">
        <v>13</v>
      </c>
      <c r="K243" s="101"/>
      <c r="L243" s="101" t="s">
        <v>758</v>
      </c>
      <c r="M243" s="101"/>
      <c r="N243" s="101">
        <v>1021</v>
      </c>
      <c r="O243" s="101"/>
      <c r="P243" s="101" t="s">
        <v>539</v>
      </c>
      <c r="Q243" s="101" t="s">
        <v>759</v>
      </c>
      <c r="R243" s="101"/>
      <c r="S243" s="101"/>
      <c r="T243" s="101"/>
      <c r="U243" s="101"/>
      <c r="V243" s="101" t="s">
        <v>40</v>
      </c>
      <c r="W243" s="101">
        <v>4501501</v>
      </c>
      <c r="X243" t="str">
        <f t="shared" si="3"/>
        <v>Others</v>
      </c>
      <c r="Y243">
        <v>13247.880000000001</v>
      </c>
    </row>
    <row r="244" spans="1:25" hidden="1">
      <c r="A244" s="101"/>
      <c r="B244" s="101">
        <v>20260428</v>
      </c>
      <c r="C244" s="101">
        <v>1900000358</v>
      </c>
      <c r="D244" s="101" t="s">
        <v>521</v>
      </c>
      <c r="E244" s="101" t="s">
        <v>535</v>
      </c>
      <c r="F244" s="101" t="s">
        <v>755</v>
      </c>
      <c r="G244" s="101">
        <v>40</v>
      </c>
      <c r="H244" s="101">
        <v>692.53</v>
      </c>
      <c r="I244" s="101" t="s">
        <v>193</v>
      </c>
      <c r="J244" s="101">
        <v>13</v>
      </c>
      <c r="K244" s="101"/>
      <c r="L244" s="101" t="s">
        <v>760</v>
      </c>
      <c r="M244" s="101"/>
      <c r="N244" s="101">
        <v>1021</v>
      </c>
      <c r="O244" s="101"/>
      <c r="P244" s="101" t="s">
        <v>539</v>
      </c>
      <c r="Q244" s="101" t="s">
        <v>761</v>
      </c>
      <c r="R244" s="101"/>
      <c r="S244" s="101"/>
      <c r="T244" s="101"/>
      <c r="U244" s="101"/>
      <c r="V244" s="101" t="s">
        <v>40</v>
      </c>
      <c r="W244" s="101">
        <v>4501501</v>
      </c>
      <c r="X244" t="str">
        <f t="shared" si="3"/>
        <v>Others</v>
      </c>
      <c r="Y244">
        <v>8604.880000000001</v>
      </c>
    </row>
    <row r="245" spans="1:25" hidden="1">
      <c r="A245" s="101"/>
      <c r="B245" s="101">
        <v>20260428</v>
      </c>
      <c r="C245" s="101">
        <v>1900000380</v>
      </c>
      <c r="D245" s="101" t="s">
        <v>534</v>
      </c>
      <c r="E245" s="101" t="s">
        <v>535</v>
      </c>
      <c r="F245" s="101" t="s">
        <v>755</v>
      </c>
      <c r="G245" s="101">
        <v>40</v>
      </c>
      <c r="H245" s="103">
        <v>4500</v>
      </c>
      <c r="I245" s="101" t="s">
        <v>193</v>
      </c>
      <c r="J245" s="101">
        <v>1</v>
      </c>
      <c r="K245" s="101"/>
      <c r="L245" s="101" t="s">
        <v>180</v>
      </c>
      <c r="M245" s="101"/>
      <c r="N245" s="101">
        <v>3010</v>
      </c>
      <c r="O245" s="101"/>
      <c r="P245" s="101" t="s">
        <v>608</v>
      </c>
      <c r="Q245" s="101" t="s">
        <v>762</v>
      </c>
      <c r="R245" s="101"/>
      <c r="S245" s="101"/>
      <c r="T245" s="101"/>
      <c r="U245" s="101"/>
      <c r="V245" s="101" t="s">
        <v>40</v>
      </c>
      <c r="W245" s="101">
        <v>4501501</v>
      </c>
      <c r="X245" t="str">
        <f t="shared" si="3"/>
        <v>LC Sales</v>
      </c>
      <c r="Y245">
        <v>228011.38</v>
      </c>
    </row>
    <row r="246" spans="1:25" hidden="1">
      <c r="A246" s="101"/>
      <c r="B246" s="101">
        <v>20260428</v>
      </c>
      <c r="C246" s="101">
        <v>1900000427</v>
      </c>
      <c r="D246" s="101" t="s">
        <v>534</v>
      </c>
      <c r="E246" s="101" t="s">
        <v>535</v>
      </c>
      <c r="F246" s="101" t="s">
        <v>755</v>
      </c>
      <c r="G246" s="101">
        <v>40</v>
      </c>
      <c r="H246" s="101">
        <v>14.75</v>
      </c>
      <c r="I246" s="101" t="s">
        <v>193</v>
      </c>
      <c r="J246" s="101">
        <v>1</v>
      </c>
      <c r="K246" s="101"/>
      <c r="L246" s="101" t="s">
        <v>540</v>
      </c>
      <c r="M246" s="101"/>
      <c r="N246" s="101">
        <v>3010</v>
      </c>
      <c r="O246" s="101"/>
      <c r="P246" s="101" t="s">
        <v>539</v>
      </c>
      <c r="Q246" s="101" t="s">
        <v>540</v>
      </c>
      <c r="R246" s="101"/>
      <c r="S246" s="101"/>
      <c r="T246" s="101"/>
      <c r="U246" s="101"/>
      <c r="V246" s="101" t="s">
        <v>40</v>
      </c>
      <c r="W246" s="101">
        <v>4501501</v>
      </c>
      <c r="X246" t="str">
        <f t="shared" si="3"/>
        <v>Others</v>
      </c>
      <c r="Y246">
        <v>2202.5</v>
      </c>
    </row>
    <row r="247" spans="1:25" hidden="1">
      <c r="A247" s="101"/>
      <c r="B247" s="101">
        <v>20260428</v>
      </c>
      <c r="C247" s="101">
        <v>1900000665</v>
      </c>
      <c r="D247" s="101" t="s">
        <v>534</v>
      </c>
      <c r="E247" s="101" t="s">
        <v>535</v>
      </c>
      <c r="F247" s="101" t="s">
        <v>755</v>
      </c>
      <c r="G247" s="101">
        <v>40</v>
      </c>
      <c r="H247" s="103">
        <v>1000</v>
      </c>
      <c r="I247" s="101" t="s">
        <v>193</v>
      </c>
      <c r="J247" s="101">
        <v>1</v>
      </c>
      <c r="K247" s="101"/>
      <c r="L247" s="101" t="s">
        <v>598</v>
      </c>
      <c r="M247" s="36" t="s">
        <v>377</v>
      </c>
      <c r="N247" s="101">
        <v>3010</v>
      </c>
      <c r="O247" s="101"/>
      <c r="P247" s="101" t="s">
        <v>536</v>
      </c>
      <c r="Q247" s="101" t="s">
        <v>600</v>
      </c>
      <c r="R247" s="101"/>
      <c r="S247" s="101"/>
      <c r="T247" s="101"/>
      <c r="U247" s="101"/>
      <c r="V247" s="101" t="s">
        <v>40</v>
      </c>
      <c r="W247" s="101">
        <v>4501501</v>
      </c>
      <c r="X247" t="str">
        <f t="shared" si="3"/>
        <v>retirement chgs</v>
      </c>
      <c r="Y247">
        <v>2202.5</v>
      </c>
    </row>
    <row r="248" spans="1:25" hidden="1">
      <c r="A248" s="101"/>
      <c r="B248" s="101">
        <v>20260429</v>
      </c>
      <c r="C248" s="101">
        <v>1900000422</v>
      </c>
      <c r="D248" s="101" t="s">
        <v>534</v>
      </c>
      <c r="E248" s="101" t="s">
        <v>535</v>
      </c>
      <c r="F248" s="101" t="s">
        <v>763</v>
      </c>
      <c r="G248" s="101">
        <v>40</v>
      </c>
      <c r="H248" s="101">
        <v>49.5</v>
      </c>
      <c r="I248" s="101" t="s">
        <v>193</v>
      </c>
      <c r="J248" s="101">
        <v>13</v>
      </c>
      <c r="K248" s="101"/>
      <c r="L248" s="101" t="s">
        <v>538</v>
      </c>
      <c r="M248" s="101"/>
      <c r="N248" s="101">
        <v>3010</v>
      </c>
      <c r="O248" s="101"/>
      <c r="P248" s="101" t="s">
        <v>539</v>
      </c>
      <c r="Q248" s="101" t="s">
        <v>538</v>
      </c>
      <c r="R248" s="101"/>
      <c r="S248" s="101"/>
      <c r="T248" s="101"/>
      <c r="U248" s="101"/>
      <c r="V248" s="101" t="s">
        <v>40</v>
      </c>
      <c r="W248" s="101">
        <v>4501501</v>
      </c>
      <c r="X248" t="str">
        <f t="shared" si="3"/>
        <v>Others</v>
      </c>
      <c r="Y248">
        <v>2202.5</v>
      </c>
    </row>
    <row r="249" spans="1:25" hidden="1">
      <c r="A249" s="101"/>
      <c r="B249" s="101">
        <v>20260429</v>
      </c>
      <c r="C249" s="101">
        <v>1900000423</v>
      </c>
      <c r="D249" s="101" t="s">
        <v>534</v>
      </c>
      <c r="E249" s="101" t="s">
        <v>535</v>
      </c>
      <c r="F249" s="101" t="s">
        <v>763</v>
      </c>
      <c r="G249" s="101">
        <v>40</v>
      </c>
      <c r="H249" s="101">
        <v>49.5</v>
      </c>
      <c r="I249" s="101" t="s">
        <v>193</v>
      </c>
      <c r="J249" s="101">
        <v>13</v>
      </c>
      <c r="K249" s="101"/>
      <c r="L249" s="101" t="s">
        <v>538</v>
      </c>
      <c r="M249" s="101"/>
      <c r="N249" s="101">
        <v>3010</v>
      </c>
      <c r="O249" s="101"/>
      <c r="P249" s="101" t="s">
        <v>539</v>
      </c>
      <c r="Q249" s="101" t="s">
        <v>538</v>
      </c>
      <c r="R249" s="101"/>
      <c r="S249" s="101"/>
      <c r="T249" s="101"/>
      <c r="U249" s="101"/>
      <c r="V249" s="101" t="s">
        <v>40</v>
      </c>
      <c r="W249" s="101">
        <v>4501501</v>
      </c>
      <c r="X249" t="str">
        <f t="shared" si="3"/>
        <v>Others</v>
      </c>
      <c r="Y249">
        <v>2202.5</v>
      </c>
    </row>
    <row r="250" spans="1:25" hidden="1">
      <c r="A250" s="101"/>
      <c r="B250" s="101">
        <v>20260429</v>
      </c>
      <c r="C250" s="101">
        <v>1900000424</v>
      </c>
      <c r="D250" s="101" t="s">
        <v>534</v>
      </c>
      <c r="E250" s="101" t="s">
        <v>535</v>
      </c>
      <c r="F250" s="101" t="s">
        <v>763</v>
      </c>
      <c r="G250" s="101">
        <v>40</v>
      </c>
      <c r="H250" s="101">
        <v>49.5</v>
      </c>
      <c r="I250" s="101" t="s">
        <v>193</v>
      </c>
      <c r="J250" s="101">
        <v>13</v>
      </c>
      <c r="K250" s="101"/>
      <c r="L250" s="101" t="s">
        <v>538</v>
      </c>
      <c r="M250" s="101"/>
      <c r="N250" s="101">
        <v>3010</v>
      </c>
      <c r="O250" s="101"/>
      <c r="P250" s="101" t="s">
        <v>539</v>
      </c>
      <c r="Q250" s="101" t="s">
        <v>538</v>
      </c>
      <c r="R250" s="101"/>
      <c r="S250" s="101"/>
      <c r="T250" s="101"/>
      <c r="U250" s="101"/>
      <c r="V250" s="101" t="s">
        <v>40</v>
      </c>
      <c r="W250" s="101">
        <v>4501501</v>
      </c>
      <c r="X250" t="str">
        <f t="shared" si="3"/>
        <v>Others</v>
      </c>
      <c r="Y250">
        <v>2202.5</v>
      </c>
    </row>
    <row r="251" spans="1:25" hidden="1">
      <c r="A251" s="101"/>
      <c r="B251" s="101">
        <v>20260429</v>
      </c>
      <c r="C251" s="101">
        <v>1900000425</v>
      </c>
      <c r="D251" s="101" t="s">
        <v>534</v>
      </c>
      <c r="E251" s="101" t="s">
        <v>535</v>
      </c>
      <c r="F251" s="101" t="s">
        <v>763</v>
      </c>
      <c r="G251" s="101">
        <v>40</v>
      </c>
      <c r="H251" s="101">
        <v>49.5</v>
      </c>
      <c r="I251" s="101" t="s">
        <v>193</v>
      </c>
      <c r="J251" s="101">
        <v>13</v>
      </c>
      <c r="K251" s="101"/>
      <c r="L251" s="101" t="s">
        <v>538</v>
      </c>
      <c r="M251" s="101"/>
      <c r="N251" s="101">
        <v>3010</v>
      </c>
      <c r="O251" s="101"/>
      <c r="P251" s="101" t="s">
        <v>539</v>
      </c>
      <c r="Q251" s="101" t="s">
        <v>538</v>
      </c>
      <c r="R251" s="101"/>
      <c r="S251" s="101"/>
      <c r="T251" s="101"/>
      <c r="U251" s="101"/>
      <c r="V251" s="101" t="s">
        <v>40</v>
      </c>
      <c r="W251" s="101">
        <v>4501501</v>
      </c>
      <c r="X251" t="str">
        <f t="shared" si="3"/>
        <v>Others</v>
      </c>
      <c r="Y251">
        <v>2202.5</v>
      </c>
    </row>
    <row r="252" spans="1:25" hidden="1">
      <c r="A252" s="101"/>
      <c r="B252" s="101">
        <v>20260429</v>
      </c>
      <c r="C252" s="101">
        <v>1900000426</v>
      </c>
      <c r="D252" s="101" t="s">
        <v>534</v>
      </c>
      <c r="E252" s="101" t="s">
        <v>535</v>
      </c>
      <c r="F252" s="101" t="s">
        <v>755</v>
      </c>
      <c r="G252" s="101">
        <v>40</v>
      </c>
      <c r="H252" s="101">
        <v>49.5</v>
      </c>
      <c r="I252" s="101" t="s">
        <v>193</v>
      </c>
      <c r="J252" s="101">
        <v>13</v>
      </c>
      <c r="K252" s="101"/>
      <c r="L252" s="101" t="s">
        <v>538</v>
      </c>
      <c r="M252" s="101"/>
      <c r="N252" s="101">
        <v>3010</v>
      </c>
      <c r="O252" s="101"/>
      <c r="P252" s="101" t="s">
        <v>539</v>
      </c>
      <c r="Q252" s="101" t="s">
        <v>538</v>
      </c>
      <c r="R252" s="101"/>
      <c r="S252" s="101"/>
      <c r="T252" s="101"/>
      <c r="U252" s="101"/>
      <c r="V252" s="101" t="s">
        <v>40</v>
      </c>
      <c r="W252" s="101">
        <v>4501501</v>
      </c>
      <c r="X252" t="str">
        <f t="shared" si="3"/>
        <v>Others</v>
      </c>
      <c r="Y252">
        <v>2202.5</v>
      </c>
    </row>
    <row r="253" spans="1:25" hidden="1">
      <c r="A253" s="101"/>
      <c r="B253" s="101">
        <v>20260430</v>
      </c>
      <c r="C253" s="101">
        <v>100000267</v>
      </c>
      <c r="D253" s="101" t="s">
        <v>521</v>
      </c>
      <c r="E253" s="101" t="s">
        <v>522</v>
      </c>
      <c r="F253" s="101" t="s">
        <v>764</v>
      </c>
      <c r="G253" s="101">
        <v>40</v>
      </c>
      <c r="H253" s="103">
        <v>6264.5</v>
      </c>
      <c r="I253" s="101" t="s">
        <v>193</v>
      </c>
      <c r="J253" s="101"/>
      <c r="K253" s="101"/>
      <c r="L253" s="101" t="s">
        <v>253</v>
      </c>
      <c r="M253" s="101"/>
      <c r="N253" s="101">
        <v>1021</v>
      </c>
      <c r="O253" s="101"/>
      <c r="P253" s="101" t="s">
        <v>523</v>
      </c>
      <c r="Q253" s="101" t="s">
        <v>765</v>
      </c>
      <c r="R253" s="101"/>
      <c r="S253" s="101"/>
      <c r="T253" s="101"/>
      <c r="U253" s="101"/>
      <c r="V253" s="101" t="s">
        <v>40</v>
      </c>
      <c r="W253" s="101">
        <v>4501501</v>
      </c>
      <c r="X253" t="str">
        <f t="shared" si="3"/>
        <v>Retirement Chgs</v>
      </c>
      <c r="Y253">
        <v>100</v>
      </c>
    </row>
    <row r="254" spans="1:25" hidden="1">
      <c r="A254" s="101"/>
      <c r="B254" s="101">
        <v>20260430</v>
      </c>
      <c r="C254" s="101">
        <v>1900000328</v>
      </c>
      <c r="D254" s="101" t="s">
        <v>534</v>
      </c>
      <c r="E254" s="101" t="s">
        <v>535</v>
      </c>
      <c r="F254" s="101" t="s">
        <v>764</v>
      </c>
      <c r="G254" s="101">
        <v>40</v>
      </c>
      <c r="H254" s="103">
        <v>3415</v>
      </c>
      <c r="I254" s="101" t="s">
        <v>193</v>
      </c>
      <c r="J254" s="101">
        <v>1</v>
      </c>
      <c r="K254" s="101"/>
      <c r="L254" s="101" t="s">
        <v>766</v>
      </c>
      <c r="M254" s="101"/>
      <c r="N254" s="101">
        <v>3010</v>
      </c>
      <c r="O254" s="101"/>
      <c r="P254" s="101" t="s">
        <v>539</v>
      </c>
      <c r="Q254" s="101" t="s">
        <v>767</v>
      </c>
      <c r="R254" s="101"/>
      <c r="S254" s="101"/>
      <c r="T254" s="101"/>
      <c r="U254" s="101"/>
      <c r="V254" s="101" t="s">
        <v>40</v>
      </c>
      <c r="W254" s="101">
        <v>4501501</v>
      </c>
      <c r="X254" t="str">
        <f t="shared" si="3"/>
        <v>Others</v>
      </c>
      <c r="Y254">
        <v>100</v>
      </c>
    </row>
    <row r="255" spans="1:25" hidden="1">
      <c r="A255" s="101"/>
      <c r="B255" s="101">
        <v>20260430</v>
      </c>
      <c r="C255" s="101">
        <v>1900000359</v>
      </c>
      <c r="D255" s="101" t="s">
        <v>521</v>
      </c>
      <c r="E255" s="101" t="s">
        <v>535</v>
      </c>
      <c r="F255" s="101" t="s">
        <v>764</v>
      </c>
      <c r="G255" s="101">
        <v>40</v>
      </c>
      <c r="H255" s="103">
        <v>1970.71</v>
      </c>
      <c r="I255" s="101" t="s">
        <v>193</v>
      </c>
      <c r="J255" s="101">
        <v>13</v>
      </c>
      <c r="K255" s="101"/>
      <c r="L255" s="101" t="s">
        <v>768</v>
      </c>
      <c r="M255" s="101"/>
      <c r="N255" s="101">
        <v>1021</v>
      </c>
      <c r="O255" s="101"/>
      <c r="P255" s="101" t="s">
        <v>539</v>
      </c>
      <c r="Q255" s="101" t="s">
        <v>769</v>
      </c>
      <c r="R255" s="101"/>
      <c r="S255" s="101"/>
      <c r="T255" s="101"/>
      <c r="U255" s="101"/>
      <c r="V255" s="101" t="s">
        <v>40</v>
      </c>
      <c r="W255" s="101">
        <v>4501501</v>
      </c>
      <c r="X255" t="str">
        <f t="shared" si="3"/>
        <v>Others</v>
      </c>
      <c r="Y255">
        <v>550</v>
      </c>
    </row>
    <row r="256" spans="1:25" hidden="1">
      <c r="A256" s="101"/>
      <c r="B256" s="101">
        <v>20260430</v>
      </c>
      <c r="C256" s="101">
        <v>1900000360</v>
      </c>
      <c r="D256" s="101" t="s">
        <v>521</v>
      </c>
      <c r="E256" s="101" t="s">
        <v>535</v>
      </c>
      <c r="F256" s="101" t="s">
        <v>764</v>
      </c>
      <c r="G256" s="101">
        <v>40</v>
      </c>
      <c r="H256" s="103">
        <v>2293.19</v>
      </c>
      <c r="I256" s="101" t="s">
        <v>193</v>
      </c>
      <c r="J256" s="101">
        <v>13</v>
      </c>
      <c r="K256" s="101"/>
      <c r="L256" s="101" t="s">
        <v>770</v>
      </c>
      <c r="M256" s="101"/>
      <c r="N256" s="101">
        <v>1021</v>
      </c>
      <c r="O256" s="101"/>
      <c r="P256" s="101" t="s">
        <v>539</v>
      </c>
      <c r="Q256" s="101" t="s">
        <v>771</v>
      </c>
      <c r="R256" s="101"/>
      <c r="S256" s="101"/>
      <c r="T256" s="101"/>
      <c r="U256" s="101"/>
      <c r="V256" s="101" t="s">
        <v>40</v>
      </c>
      <c r="W256" s="101">
        <v>4501501</v>
      </c>
      <c r="X256" t="str">
        <f t="shared" si="3"/>
        <v>Others</v>
      </c>
      <c r="Y256">
        <v>100</v>
      </c>
    </row>
    <row r="257" spans="1:25" hidden="1">
      <c r="A257" s="101"/>
      <c r="B257" s="101">
        <v>20260430</v>
      </c>
      <c r="C257" s="101">
        <v>1900000361</v>
      </c>
      <c r="D257" s="101" t="s">
        <v>521</v>
      </c>
      <c r="E257" s="101" t="s">
        <v>535</v>
      </c>
      <c r="F257" s="101" t="s">
        <v>764</v>
      </c>
      <c r="G257" s="101">
        <v>40</v>
      </c>
      <c r="H257" s="101">
        <v>378.51</v>
      </c>
      <c r="I257" s="101" t="s">
        <v>193</v>
      </c>
      <c r="J257" s="101">
        <v>13</v>
      </c>
      <c r="K257" s="101"/>
      <c r="L257" s="101" t="s">
        <v>772</v>
      </c>
      <c r="M257" s="101"/>
      <c r="N257" s="101">
        <v>1021</v>
      </c>
      <c r="O257" s="101"/>
      <c r="P257" s="101" t="s">
        <v>539</v>
      </c>
      <c r="Q257" s="101" t="s">
        <v>773</v>
      </c>
      <c r="R257" s="101"/>
      <c r="S257" s="101"/>
      <c r="T257" s="101"/>
      <c r="U257" s="101"/>
      <c r="V257" s="101" t="s">
        <v>40</v>
      </c>
      <c r="W257" s="101">
        <v>4501501</v>
      </c>
      <c r="X257" t="str">
        <f t="shared" si="3"/>
        <v>Others</v>
      </c>
      <c r="Y257">
        <v>418</v>
      </c>
    </row>
    <row r="258" spans="1:25" hidden="1">
      <c r="A258" s="101"/>
      <c r="B258" s="101">
        <v>20260430</v>
      </c>
      <c r="C258" s="101">
        <v>1900000362</v>
      </c>
      <c r="D258" s="101" t="s">
        <v>521</v>
      </c>
      <c r="E258" s="101" t="s">
        <v>535</v>
      </c>
      <c r="F258" s="101" t="s">
        <v>764</v>
      </c>
      <c r="G258" s="101">
        <v>40</v>
      </c>
      <c r="H258" s="101">
        <v>245.85</v>
      </c>
      <c r="I258" s="101" t="s">
        <v>193</v>
      </c>
      <c r="J258" s="101">
        <v>13</v>
      </c>
      <c r="K258" s="101"/>
      <c r="L258" s="101" t="s">
        <v>774</v>
      </c>
      <c r="M258" s="101"/>
      <c r="N258" s="101">
        <v>1021</v>
      </c>
      <c r="O258" s="101"/>
      <c r="P258" s="101" t="s">
        <v>539</v>
      </c>
      <c r="Q258" s="101" t="s">
        <v>775</v>
      </c>
      <c r="R258" s="101"/>
      <c r="S258" s="101"/>
      <c r="T258" s="101"/>
      <c r="U258" s="101"/>
      <c r="V258" s="101" t="s">
        <v>40</v>
      </c>
      <c r="W258" s="101">
        <v>4501501</v>
      </c>
      <c r="X258" t="str">
        <f t="shared" si="3"/>
        <v>Others</v>
      </c>
      <c r="Y258">
        <v>0</v>
      </c>
    </row>
    <row r="259" spans="1:25" hidden="1">
      <c r="A259" s="101"/>
      <c r="B259" s="101">
        <v>20260430</v>
      </c>
      <c r="C259" s="101">
        <v>1900000401</v>
      </c>
      <c r="D259" s="101" t="s">
        <v>534</v>
      </c>
      <c r="E259" s="101" t="s">
        <v>535</v>
      </c>
      <c r="F259" s="101" t="s">
        <v>764</v>
      </c>
      <c r="G259" s="101">
        <v>40</v>
      </c>
      <c r="H259" s="103">
        <v>4500</v>
      </c>
      <c r="I259" s="101" t="s">
        <v>193</v>
      </c>
      <c r="J259" s="101">
        <v>1</v>
      </c>
      <c r="K259" s="101"/>
      <c r="L259" s="101" t="s">
        <v>183</v>
      </c>
      <c r="M259" s="101"/>
      <c r="N259" s="101">
        <v>3010</v>
      </c>
      <c r="O259" s="101"/>
      <c r="P259" s="101" t="s">
        <v>608</v>
      </c>
      <c r="Q259" s="101" t="s">
        <v>776</v>
      </c>
      <c r="R259" s="101"/>
      <c r="S259" s="101"/>
      <c r="T259" s="101"/>
      <c r="U259" s="101"/>
      <c r="V259" s="101" t="s">
        <v>40</v>
      </c>
      <c r="W259" s="101">
        <v>4501501</v>
      </c>
      <c r="X259" t="str">
        <f t="shared" ref="X259:X322" si="4">VLOOKUP(L259,L:P,5,FALSE)</f>
        <v>LC Sales</v>
      </c>
      <c r="Y259">
        <v>0</v>
      </c>
    </row>
    <row r="260" spans="1:25" hidden="1">
      <c r="A260" s="101"/>
      <c r="B260" s="101">
        <v>20260430</v>
      </c>
      <c r="C260" s="101">
        <v>1900000413</v>
      </c>
      <c r="D260" s="101" t="s">
        <v>534</v>
      </c>
      <c r="E260" s="101" t="s">
        <v>535</v>
      </c>
      <c r="F260" s="101" t="s">
        <v>764</v>
      </c>
      <c r="G260" s="101">
        <v>40</v>
      </c>
      <c r="H260" s="101">
        <v>49.5</v>
      </c>
      <c r="I260" s="101" t="s">
        <v>193</v>
      </c>
      <c r="J260" s="101">
        <v>13</v>
      </c>
      <c r="K260" s="101"/>
      <c r="L260" s="101" t="s">
        <v>538</v>
      </c>
      <c r="M260" s="101"/>
      <c r="N260" s="101">
        <v>3010</v>
      </c>
      <c r="O260" s="101"/>
      <c r="P260" s="101" t="s">
        <v>539</v>
      </c>
      <c r="Q260" s="101" t="s">
        <v>538</v>
      </c>
      <c r="R260" s="101"/>
      <c r="S260" s="101"/>
      <c r="T260" s="101"/>
      <c r="U260" s="101"/>
      <c r="V260" s="101" t="s">
        <v>40</v>
      </c>
      <c r="W260" s="101">
        <v>4501501</v>
      </c>
      <c r="X260" t="str">
        <f t="shared" si="4"/>
        <v>Others</v>
      </c>
      <c r="Y260">
        <v>0</v>
      </c>
    </row>
    <row r="261" spans="1:25" hidden="1">
      <c r="A261" s="101"/>
      <c r="B261" s="101">
        <v>20260430</v>
      </c>
      <c r="C261" s="101">
        <v>1900000414</v>
      </c>
      <c r="D261" s="101" t="s">
        <v>534</v>
      </c>
      <c r="E261" s="101" t="s">
        <v>535</v>
      </c>
      <c r="F261" s="101" t="s">
        <v>764</v>
      </c>
      <c r="G261" s="101">
        <v>40</v>
      </c>
      <c r="H261" s="101">
        <v>49.5</v>
      </c>
      <c r="I261" s="101" t="s">
        <v>193</v>
      </c>
      <c r="J261" s="101">
        <v>13</v>
      </c>
      <c r="K261" s="101"/>
      <c r="L261" s="101" t="s">
        <v>538</v>
      </c>
      <c r="M261" s="101"/>
      <c r="N261" s="101">
        <v>3010</v>
      </c>
      <c r="O261" s="101"/>
      <c r="P261" s="101" t="s">
        <v>539</v>
      </c>
      <c r="Q261" s="101" t="s">
        <v>538</v>
      </c>
      <c r="R261" s="101"/>
      <c r="S261" s="101"/>
      <c r="T261" s="101"/>
      <c r="U261" s="101"/>
      <c r="V261" s="101" t="s">
        <v>40</v>
      </c>
      <c r="W261" s="101">
        <v>4501501</v>
      </c>
      <c r="X261" t="str">
        <f t="shared" si="4"/>
        <v>Others</v>
      </c>
      <c r="Y261">
        <v>11.8</v>
      </c>
    </row>
    <row r="262" spans="1:25" hidden="1">
      <c r="A262" s="101"/>
      <c r="B262" s="101">
        <v>20260430</v>
      </c>
      <c r="C262" s="101">
        <v>1900000416</v>
      </c>
      <c r="D262" s="101" t="s">
        <v>534</v>
      </c>
      <c r="E262" s="101" t="s">
        <v>535</v>
      </c>
      <c r="F262" s="101" t="s">
        <v>764</v>
      </c>
      <c r="G262" s="101">
        <v>40</v>
      </c>
      <c r="H262" s="101">
        <v>49.5</v>
      </c>
      <c r="I262" s="101" t="s">
        <v>193</v>
      </c>
      <c r="J262" s="101">
        <v>13</v>
      </c>
      <c r="K262" s="101"/>
      <c r="L262" s="101" t="s">
        <v>538</v>
      </c>
      <c r="M262" s="101"/>
      <c r="N262" s="101">
        <v>3010</v>
      </c>
      <c r="O262" s="101"/>
      <c r="P262" s="101" t="s">
        <v>539</v>
      </c>
      <c r="Q262" s="101" t="s">
        <v>538</v>
      </c>
      <c r="R262" s="101"/>
      <c r="S262" s="101"/>
      <c r="T262" s="101"/>
      <c r="U262" s="101"/>
      <c r="V262" s="101" t="s">
        <v>40</v>
      </c>
      <c r="W262" s="101">
        <v>4501501</v>
      </c>
      <c r="X262" t="str">
        <f t="shared" si="4"/>
        <v>Others</v>
      </c>
      <c r="Y262">
        <v>7790</v>
      </c>
    </row>
    <row r="263" spans="1:25" hidden="1">
      <c r="A263" s="101"/>
      <c r="B263" s="101">
        <v>20260430</v>
      </c>
      <c r="C263" s="101">
        <v>1900000418</v>
      </c>
      <c r="D263" s="101" t="s">
        <v>534</v>
      </c>
      <c r="E263" s="101" t="s">
        <v>535</v>
      </c>
      <c r="F263" s="101" t="s">
        <v>764</v>
      </c>
      <c r="G263" s="101">
        <v>40</v>
      </c>
      <c r="H263" s="101">
        <v>24.5</v>
      </c>
      <c r="I263" s="101" t="s">
        <v>193</v>
      </c>
      <c r="J263" s="101">
        <v>13</v>
      </c>
      <c r="K263" s="101"/>
      <c r="L263" s="101" t="s">
        <v>538</v>
      </c>
      <c r="M263" s="101"/>
      <c r="N263" s="101">
        <v>3010</v>
      </c>
      <c r="O263" s="101"/>
      <c r="P263" s="101" t="s">
        <v>539</v>
      </c>
      <c r="Q263" s="101" t="s">
        <v>538</v>
      </c>
      <c r="R263" s="101"/>
      <c r="S263" s="101"/>
      <c r="T263" s="101"/>
      <c r="U263" s="101"/>
      <c r="V263" s="101" t="s">
        <v>40</v>
      </c>
      <c r="W263" s="101">
        <v>4501501</v>
      </c>
      <c r="X263" t="str">
        <f t="shared" si="4"/>
        <v>Others</v>
      </c>
      <c r="Y263">
        <v>1500</v>
      </c>
    </row>
    <row r="264" spans="1:25" hidden="1">
      <c r="A264" s="101"/>
      <c r="B264" s="101">
        <v>20260430</v>
      </c>
      <c r="C264" s="101">
        <v>1900000420</v>
      </c>
      <c r="D264" s="101" t="s">
        <v>534</v>
      </c>
      <c r="E264" s="101" t="s">
        <v>535</v>
      </c>
      <c r="F264" s="101" t="s">
        <v>764</v>
      </c>
      <c r="G264" s="101">
        <v>40</v>
      </c>
      <c r="H264" s="101">
        <v>49.5</v>
      </c>
      <c r="I264" s="101" t="s">
        <v>193</v>
      </c>
      <c r="J264" s="101">
        <v>13</v>
      </c>
      <c r="K264" s="101"/>
      <c r="L264" s="101" t="s">
        <v>538</v>
      </c>
      <c r="M264" s="101"/>
      <c r="N264" s="101">
        <v>3010</v>
      </c>
      <c r="O264" s="101"/>
      <c r="P264" s="101" t="s">
        <v>539</v>
      </c>
      <c r="Q264" s="101" t="s">
        <v>538</v>
      </c>
      <c r="R264" s="101"/>
      <c r="S264" s="101"/>
      <c r="T264" s="101"/>
      <c r="U264" s="101"/>
      <c r="V264" s="101" t="s">
        <v>40</v>
      </c>
      <c r="W264" s="101">
        <v>4501501</v>
      </c>
      <c r="X264" t="str">
        <f t="shared" si="4"/>
        <v>Others</v>
      </c>
      <c r="Y264">
        <v>1500</v>
      </c>
    </row>
    <row r="265" spans="1:25" hidden="1">
      <c r="A265" s="101"/>
      <c r="B265" s="101">
        <v>20260430</v>
      </c>
      <c r="C265" s="101">
        <v>1900000421</v>
      </c>
      <c r="D265" s="101" t="s">
        <v>534</v>
      </c>
      <c r="E265" s="101" t="s">
        <v>535</v>
      </c>
      <c r="F265" s="101" t="s">
        <v>764</v>
      </c>
      <c r="G265" s="101">
        <v>40</v>
      </c>
      <c r="H265" s="101">
        <v>49.5</v>
      </c>
      <c r="I265" s="101" t="s">
        <v>193</v>
      </c>
      <c r="J265" s="101">
        <v>13</v>
      </c>
      <c r="K265" s="101"/>
      <c r="L265" s="101" t="s">
        <v>538</v>
      </c>
      <c r="M265" s="101"/>
      <c r="N265" s="101">
        <v>3010</v>
      </c>
      <c r="O265" s="101"/>
      <c r="P265" s="101" t="s">
        <v>539</v>
      </c>
      <c r="Q265" s="101" t="s">
        <v>538</v>
      </c>
      <c r="R265" s="101"/>
      <c r="S265" s="101"/>
      <c r="T265" s="101"/>
      <c r="U265" s="101"/>
      <c r="V265" s="101" t="s">
        <v>40</v>
      </c>
      <c r="W265" s="101">
        <v>4501501</v>
      </c>
      <c r="X265" t="str">
        <f t="shared" si="4"/>
        <v>Others</v>
      </c>
      <c r="Y265">
        <v>2600</v>
      </c>
    </row>
    <row r="266" spans="1:25" hidden="1">
      <c r="A266" s="101"/>
      <c r="B266" s="101">
        <v>20260430</v>
      </c>
      <c r="C266" s="101">
        <v>1900000503</v>
      </c>
      <c r="D266" s="101" t="s">
        <v>534</v>
      </c>
      <c r="E266" s="101" t="s">
        <v>535</v>
      </c>
      <c r="F266" s="101" t="s">
        <v>764</v>
      </c>
      <c r="G266" s="101">
        <v>40</v>
      </c>
      <c r="H266" s="101">
        <v>49.5</v>
      </c>
      <c r="I266" s="101" t="s">
        <v>193</v>
      </c>
      <c r="J266" s="101">
        <v>13</v>
      </c>
      <c r="K266" s="101"/>
      <c r="L266" s="101" t="s">
        <v>538</v>
      </c>
      <c r="M266" s="101"/>
      <c r="N266" s="101">
        <v>3010</v>
      </c>
      <c r="O266" s="101"/>
      <c r="P266" s="101" t="s">
        <v>539</v>
      </c>
      <c r="Q266" s="101" t="s">
        <v>538</v>
      </c>
      <c r="R266" s="101"/>
      <c r="S266" s="101"/>
      <c r="T266" s="101"/>
      <c r="U266" s="101"/>
      <c r="V266" s="101" t="s">
        <v>40</v>
      </c>
      <c r="W266" s="101">
        <v>4501501</v>
      </c>
      <c r="X266" t="str">
        <f t="shared" si="4"/>
        <v>Others</v>
      </c>
      <c r="Y266">
        <v>2435540.81</v>
      </c>
    </row>
    <row r="267" spans="1:25" hidden="1">
      <c r="A267" s="101"/>
      <c r="B267" s="101">
        <v>20260430</v>
      </c>
      <c r="C267" s="101">
        <v>1900000509</v>
      </c>
      <c r="D267" s="101" t="s">
        <v>534</v>
      </c>
      <c r="E267" s="101" t="s">
        <v>535</v>
      </c>
      <c r="F267" s="101" t="s">
        <v>764</v>
      </c>
      <c r="G267" s="101">
        <v>40</v>
      </c>
      <c r="H267" s="101">
        <v>100</v>
      </c>
      <c r="I267" s="101" t="s">
        <v>193</v>
      </c>
      <c r="J267" s="101">
        <v>13</v>
      </c>
      <c r="K267" s="101"/>
      <c r="L267" s="101">
        <v>22147655</v>
      </c>
      <c r="M267" s="101"/>
      <c r="N267" s="101">
        <v>3010</v>
      </c>
      <c r="O267" s="101"/>
      <c r="P267" s="101" t="s">
        <v>539</v>
      </c>
      <c r="Q267" s="101" t="s">
        <v>777</v>
      </c>
      <c r="R267" s="101"/>
      <c r="S267" s="101"/>
      <c r="T267" s="101"/>
      <c r="U267" s="101"/>
      <c r="V267" s="101" t="s">
        <v>40</v>
      </c>
      <c r="W267" s="101">
        <v>4501501</v>
      </c>
      <c r="X267" t="str">
        <f t="shared" si="4"/>
        <v>Others</v>
      </c>
      <c r="Y267">
        <v>2600</v>
      </c>
    </row>
    <row r="268" spans="1:25" hidden="1">
      <c r="A268" s="101"/>
      <c r="B268" s="101">
        <v>20260430</v>
      </c>
      <c r="C268" s="101">
        <v>1900000510</v>
      </c>
      <c r="D268" s="101" t="s">
        <v>534</v>
      </c>
      <c r="E268" s="101" t="s">
        <v>535</v>
      </c>
      <c r="F268" s="101" t="s">
        <v>764</v>
      </c>
      <c r="G268" s="101">
        <v>40</v>
      </c>
      <c r="H268" s="101">
        <v>100</v>
      </c>
      <c r="I268" s="101" t="s">
        <v>193</v>
      </c>
      <c r="J268" s="101">
        <v>13</v>
      </c>
      <c r="K268" s="101"/>
      <c r="L268" s="101">
        <v>22216190</v>
      </c>
      <c r="M268" s="101"/>
      <c r="N268" s="101">
        <v>3010</v>
      </c>
      <c r="O268" s="101"/>
      <c r="P268" s="101" t="s">
        <v>539</v>
      </c>
      <c r="Q268" s="101" t="s">
        <v>778</v>
      </c>
      <c r="R268" s="101"/>
      <c r="S268" s="101"/>
      <c r="T268" s="101"/>
      <c r="U268" s="101"/>
      <c r="V268" s="101" t="s">
        <v>40</v>
      </c>
      <c r="W268" s="101">
        <v>4501501</v>
      </c>
      <c r="X268" t="str">
        <f t="shared" si="4"/>
        <v>Others</v>
      </c>
      <c r="Y268">
        <v>1000</v>
      </c>
    </row>
    <row r="269" spans="1:25" hidden="1">
      <c r="A269" s="101"/>
      <c r="B269" s="101">
        <v>20260430</v>
      </c>
      <c r="C269" s="101">
        <v>1900000527</v>
      </c>
      <c r="D269" s="101" t="s">
        <v>534</v>
      </c>
      <c r="E269" s="101" t="s">
        <v>535</v>
      </c>
      <c r="F269" s="101" t="s">
        <v>764</v>
      </c>
      <c r="G269" s="101">
        <v>40</v>
      </c>
      <c r="H269" s="101">
        <v>550</v>
      </c>
      <c r="I269" s="101" t="s">
        <v>193</v>
      </c>
      <c r="J269" s="101">
        <v>1</v>
      </c>
      <c r="K269" s="101"/>
      <c r="L269" s="101" t="s">
        <v>374</v>
      </c>
      <c r="M269" s="101"/>
      <c r="N269" s="101">
        <v>3010</v>
      </c>
      <c r="O269" s="101"/>
      <c r="P269" s="101" t="s">
        <v>539</v>
      </c>
      <c r="Q269" s="101" t="s">
        <v>709</v>
      </c>
      <c r="R269" s="101"/>
      <c r="S269" s="101"/>
      <c r="T269" s="101"/>
      <c r="U269" s="101"/>
      <c r="V269" s="101" t="s">
        <v>40</v>
      </c>
      <c r="W269" s="101">
        <v>4501501</v>
      </c>
      <c r="X269" t="str">
        <f t="shared" si="4"/>
        <v>Others</v>
      </c>
      <c r="Y269">
        <v>1500</v>
      </c>
    </row>
    <row r="270" spans="1:25" hidden="1">
      <c r="A270" s="101"/>
      <c r="B270" s="101">
        <v>20260430</v>
      </c>
      <c r="C270" s="101">
        <v>1900000672</v>
      </c>
      <c r="D270" s="101" t="s">
        <v>534</v>
      </c>
      <c r="E270" s="101" t="s">
        <v>535</v>
      </c>
      <c r="F270" s="101" t="s">
        <v>764</v>
      </c>
      <c r="G270" s="101">
        <v>40</v>
      </c>
      <c r="H270" s="101">
        <v>100</v>
      </c>
      <c r="I270" s="101" t="s">
        <v>193</v>
      </c>
      <c r="J270" s="101">
        <v>1</v>
      </c>
      <c r="K270" s="101"/>
      <c r="L270" s="101" t="s">
        <v>779</v>
      </c>
      <c r="M270" s="101"/>
      <c r="N270" s="101">
        <v>3010</v>
      </c>
      <c r="O270" s="101"/>
      <c r="P270" s="101" t="s">
        <v>539</v>
      </c>
      <c r="Q270" s="101" t="s">
        <v>780</v>
      </c>
      <c r="R270" s="101"/>
      <c r="S270" s="101"/>
      <c r="T270" s="101"/>
      <c r="U270" s="101"/>
      <c r="V270" s="101" t="s">
        <v>40</v>
      </c>
      <c r="W270" s="101">
        <v>4501501</v>
      </c>
      <c r="X270" t="str">
        <f t="shared" si="4"/>
        <v>Others</v>
      </c>
      <c r="Y270">
        <v>2600</v>
      </c>
    </row>
    <row r="271" spans="1:25" hidden="1">
      <c r="A271" s="101"/>
      <c r="B271" s="101">
        <v>20260430</v>
      </c>
      <c r="C271" s="101">
        <v>1900000702</v>
      </c>
      <c r="D271" s="101" t="s">
        <v>569</v>
      </c>
      <c r="E271" s="101" t="s">
        <v>535</v>
      </c>
      <c r="F271" s="101" t="s">
        <v>764</v>
      </c>
      <c r="G271" s="101">
        <v>40</v>
      </c>
      <c r="H271" s="101">
        <v>418</v>
      </c>
      <c r="I271" s="101" t="s">
        <v>193</v>
      </c>
      <c r="J271" s="101">
        <v>1</v>
      </c>
      <c r="K271" s="101"/>
      <c r="L271" s="101" t="s">
        <v>781</v>
      </c>
      <c r="M271" s="101"/>
      <c r="N271" s="101">
        <v>1021</v>
      </c>
      <c r="O271" s="101"/>
      <c r="P271" s="101" t="s">
        <v>539</v>
      </c>
      <c r="Q271" s="101" t="s">
        <v>782</v>
      </c>
      <c r="R271" s="101"/>
      <c r="S271" s="101"/>
      <c r="T271" s="101"/>
      <c r="U271" s="101"/>
      <c r="V271" s="101" t="s">
        <v>40</v>
      </c>
      <c r="W271" s="101">
        <v>4501501</v>
      </c>
      <c r="X271" t="str">
        <f t="shared" si="4"/>
        <v>Others</v>
      </c>
      <c r="Y271">
        <v>654388.47999999998</v>
      </c>
    </row>
    <row r="272" spans="1:25" hidden="1">
      <c r="A272" s="101"/>
      <c r="B272" s="101">
        <v>20260511</v>
      </c>
      <c r="C272" s="101">
        <v>100000676</v>
      </c>
      <c r="D272" s="101" t="s">
        <v>569</v>
      </c>
      <c r="E272" s="101" t="s">
        <v>522</v>
      </c>
      <c r="F272" s="102">
        <v>46331</v>
      </c>
      <c r="G272" s="101">
        <v>40</v>
      </c>
      <c r="H272" s="101">
        <v>2.77</v>
      </c>
      <c r="I272" s="101" t="s">
        <v>193</v>
      </c>
      <c r="J272" s="101"/>
      <c r="K272" s="101"/>
      <c r="L272" s="101"/>
      <c r="M272" s="101"/>
      <c r="N272" s="101">
        <v>1021</v>
      </c>
      <c r="O272" s="101"/>
      <c r="P272" s="101" t="s">
        <v>539</v>
      </c>
      <c r="Q272" s="101" t="s">
        <v>783</v>
      </c>
      <c r="R272" s="101"/>
      <c r="S272" s="101"/>
      <c r="T272" s="101"/>
      <c r="U272" s="101"/>
      <c r="V272" s="101" t="s">
        <v>784</v>
      </c>
      <c r="W272" s="101">
        <v>4501501</v>
      </c>
      <c r="X272" t="e">
        <f t="shared" si="4"/>
        <v>#N/A</v>
      </c>
      <c r="Y272">
        <v>2600</v>
      </c>
    </row>
    <row r="273" spans="1:25" hidden="1">
      <c r="A273" s="101"/>
      <c r="B273" s="101">
        <v>20260511</v>
      </c>
      <c r="C273" s="101">
        <v>100000677</v>
      </c>
      <c r="D273" s="101" t="s">
        <v>569</v>
      </c>
      <c r="E273" s="101" t="s">
        <v>522</v>
      </c>
      <c r="F273" s="102">
        <v>46331</v>
      </c>
      <c r="G273" s="101">
        <v>40</v>
      </c>
      <c r="H273" s="101">
        <v>2.77</v>
      </c>
      <c r="I273" s="101" t="s">
        <v>193</v>
      </c>
      <c r="J273" s="101"/>
      <c r="K273" s="101"/>
      <c r="L273" s="101"/>
      <c r="M273" s="101"/>
      <c r="N273" s="101">
        <v>1021</v>
      </c>
      <c r="O273" s="101"/>
      <c r="P273" s="101" t="s">
        <v>539</v>
      </c>
      <c r="Q273" s="101" t="s">
        <v>785</v>
      </c>
      <c r="R273" s="101"/>
      <c r="S273" s="101"/>
      <c r="T273" s="101"/>
      <c r="U273" s="101"/>
      <c r="V273" s="101" t="s">
        <v>784</v>
      </c>
      <c r="W273" s="101">
        <v>4501501</v>
      </c>
      <c r="X273" t="e">
        <f t="shared" si="4"/>
        <v>#N/A</v>
      </c>
      <c r="Y273">
        <v>2600</v>
      </c>
    </row>
    <row r="274" spans="1:25" hidden="1">
      <c r="A274" s="101"/>
      <c r="B274" s="101">
        <v>20260511</v>
      </c>
      <c r="C274" s="101">
        <v>100000678</v>
      </c>
      <c r="D274" s="101" t="s">
        <v>569</v>
      </c>
      <c r="E274" s="101" t="s">
        <v>522</v>
      </c>
      <c r="F274" s="102">
        <v>46331</v>
      </c>
      <c r="G274" s="101">
        <v>40</v>
      </c>
      <c r="H274" s="101">
        <v>2.77</v>
      </c>
      <c r="I274" s="101" t="s">
        <v>193</v>
      </c>
      <c r="J274" s="101"/>
      <c r="K274" s="101"/>
      <c r="L274" s="101"/>
      <c r="M274" s="101"/>
      <c r="N274" s="101">
        <v>1021</v>
      </c>
      <c r="O274" s="101"/>
      <c r="P274" s="101" t="s">
        <v>539</v>
      </c>
      <c r="Q274" s="101" t="s">
        <v>786</v>
      </c>
      <c r="R274" s="101"/>
      <c r="S274" s="101"/>
      <c r="T274" s="101"/>
      <c r="U274" s="101"/>
      <c r="V274" s="101" t="s">
        <v>784</v>
      </c>
      <c r="W274" s="101">
        <v>4501501</v>
      </c>
      <c r="X274" t="e">
        <f t="shared" si="4"/>
        <v>#N/A</v>
      </c>
      <c r="Y274">
        <v>2600</v>
      </c>
    </row>
    <row r="275" spans="1:25" hidden="1">
      <c r="A275" s="101"/>
      <c r="B275" s="101" t="s">
        <v>787</v>
      </c>
      <c r="C275" s="101">
        <v>100000672</v>
      </c>
      <c r="D275" s="101" t="s">
        <v>569</v>
      </c>
      <c r="E275" s="101" t="s">
        <v>522</v>
      </c>
      <c r="F275" s="101" t="s">
        <v>788</v>
      </c>
      <c r="G275" s="101">
        <v>40</v>
      </c>
      <c r="H275" s="101">
        <v>11.8</v>
      </c>
      <c r="I275" s="101" t="s">
        <v>193</v>
      </c>
      <c r="J275" s="101" t="s">
        <v>789</v>
      </c>
      <c r="K275" s="101"/>
      <c r="L275" s="101">
        <v>7488386550245</v>
      </c>
      <c r="M275" s="101"/>
      <c r="N275" s="101">
        <v>1021</v>
      </c>
      <c r="O275" s="101"/>
      <c r="P275" s="101" t="s">
        <v>539</v>
      </c>
      <c r="Q275" s="101" t="s">
        <v>790</v>
      </c>
      <c r="R275" s="101"/>
      <c r="S275" s="101"/>
      <c r="T275" s="101"/>
      <c r="U275" s="101"/>
      <c r="V275" s="101" t="s">
        <v>40</v>
      </c>
      <c r="W275" s="101">
        <v>4501501</v>
      </c>
      <c r="X275" t="str">
        <f t="shared" si="4"/>
        <v>Others</v>
      </c>
      <c r="Y275">
        <v>563039.81999999995</v>
      </c>
    </row>
    <row r="276" spans="1:25" hidden="1">
      <c r="A276" s="101"/>
      <c r="B276" s="101" t="s">
        <v>791</v>
      </c>
      <c r="C276" s="101">
        <v>100000478</v>
      </c>
      <c r="D276" s="101" t="s">
        <v>534</v>
      </c>
      <c r="E276" s="101" t="s">
        <v>522</v>
      </c>
      <c r="F276" s="101" t="s">
        <v>764</v>
      </c>
      <c r="G276" s="101">
        <v>40</v>
      </c>
      <c r="H276" s="103">
        <v>7790</v>
      </c>
      <c r="I276" s="101" t="s">
        <v>193</v>
      </c>
      <c r="J276" s="101"/>
      <c r="K276" s="101"/>
      <c r="L276" s="101" t="s">
        <v>792</v>
      </c>
      <c r="M276" s="101"/>
      <c r="N276" s="101">
        <v>3010</v>
      </c>
      <c r="O276" s="101"/>
      <c r="P276" s="101" t="s">
        <v>539</v>
      </c>
      <c r="Q276" s="101" t="s">
        <v>793</v>
      </c>
      <c r="R276" s="101"/>
      <c r="S276" s="101"/>
      <c r="T276" s="101"/>
      <c r="U276" s="101"/>
      <c r="V276" s="101" t="s">
        <v>40</v>
      </c>
      <c r="W276" s="101">
        <v>4501501</v>
      </c>
      <c r="X276" t="str">
        <f t="shared" si="4"/>
        <v>Others</v>
      </c>
      <c r="Y276">
        <v>2600</v>
      </c>
    </row>
    <row r="277" spans="1:25" hidden="1">
      <c r="A277" s="101"/>
      <c r="B277" s="101">
        <v>20260402</v>
      </c>
      <c r="C277" s="101">
        <v>1900000170</v>
      </c>
      <c r="D277" s="101" t="s">
        <v>534</v>
      </c>
      <c r="E277" s="101" t="s">
        <v>535</v>
      </c>
      <c r="F277" s="102">
        <v>46057</v>
      </c>
      <c r="G277" s="101">
        <v>40</v>
      </c>
      <c r="H277" s="103">
        <v>1500</v>
      </c>
      <c r="I277" s="101" t="s">
        <v>193</v>
      </c>
      <c r="J277" s="101">
        <v>1</v>
      </c>
      <c r="K277" s="101"/>
      <c r="L277" s="101" t="s">
        <v>203</v>
      </c>
      <c r="M277" s="101"/>
      <c r="N277" s="101">
        <v>3010</v>
      </c>
      <c r="O277" s="101"/>
      <c r="P277" s="101" t="s">
        <v>536</v>
      </c>
      <c r="Q277" s="101" t="s">
        <v>794</v>
      </c>
      <c r="R277" s="101"/>
      <c r="S277" s="101"/>
      <c r="T277" s="101"/>
      <c r="U277" s="101"/>
      <c r="V277" s="101" t="s">
        <v>40</v>
      </c>
      <c r="W277" s="101">
        <v>4501502</v>
      </c>
      <c r="X277" t="str">
        <f t="shared" si="4"/>
        <v>LC Chgs</v>
      </c>
      <c r="Y277">
        <v>2600</v>
      </c>
    </row>
    <row r="278" spans="1:25" hidden="1">
      <c r="A278" s="101"/>
      <c r="B278" s="101">
        <v>20260402</v>
      </c>
      <c r="C278" s="101">
        <v>1900000171</v>
      </c>
      <c r="D278" s="101" t="s">
        <v>534</v>
      </c>
      <c r="E278" s="101" t="s">
        <v>535</v>
      </c>
      <c r="F278" s="102">
        <v>46057</v>
      </c>
      <c r="G278" s="101">
        <v>40</v>
      </c>
      <c r="H278" s="103">
        <v>1500</v>
      </c>
      <c r="I278" s="101" t="s">
        <v>193</v>
      </c>
      <c r="J278" s="101">
        <v>1</v>
      </c>
      <c r="K278" s="101"/>
      <c r="L278" s="101" t="s">
        <v>202</v>
      </c>
      <c r="M278" s="101"/>
      <c r="N278" s="101">
        <v>3010</v>
      </c>
      <c r="O278" s="101"/>
      <c r="P278" s="101" t="s">
        <v>536</v>
      </c>
      <c r="Q278" s="101" t="s">
        <v>794</v>
      </c>
      <c r="R278" s="101"/>
      <c r="S278" s="101"/>
      <c r="T278" s="101"/>
      <c r="U278" s="101"/>
      <c r="V278" s="101" t="s">
        <v>40</v>
      </c>
      <c r="W278" s="101">
        <v>4501502</v>
      </c>
      <c r="X278" t="str">
        <f t="shared" si="4"/>
        <v>LC Chgs</v>
      </c>
      <c r="Y278">
        <v>2600</v>
      </c>
    </row>
    <row r="279" spans="1:25" hidden="1">
      <c r="A279" s="101"/>
      <c r="B279" s="101">
        <v>20260402</v>
      </c>
      <c r="C279" s="101">
        <v>1900000176</v>
      </c>
      <c r="D279" s="101" t="s">
        <v>534</v>
      </c>
      <c r="E279" s="101" t="s">
        <v>535</v>
      </c>
      <c r="F279" s="102">
        <v>46057</v>
      </c>
      <c r="G279" s="101">
        <v>40</v>
      </c>
      <c r="H279" s="103">
        <v>2600</v>
      </c>
      <c r="I279" s="101" t="s">
        <v>193</v>
      </c>
      <c r="J279" s="101">
        <v>1</v>
      </c>
      <c r="K279" s="101"/>
      <c r="L279" s="101" t="s">
        <v>209</v>
      </c>
      <c r="M279" s="101"/>
      <c r="N279" s="101">
        <v>3010</v>
      </c>
      <c r="O279" s="101"/>
      <c r="P279" s="101" t="s">
        <v>523</v>
      </c>
      <c r="Q279" s="101" t="s">
        <v>795</v>
      </c>
      <c r="R279" s="101"/>
      <c r="S279" s="101"/>
      <c r="T279" s="101"/>
      <c r="U279" s="101"/>
      <c r="V279" s="101" t="s">
        <v>40</v>
      </c>
      <c r="W279" s="101">
        <v>4501502</v>
      </c>
      <c r="X279" t="str">
        <f t="shared" si="4"/>
        <v>Retirement Chgs</v>
      </c>
      <c r="Y279">
        <v>2600</v>
      </c>
    </row>
    <row r="280" spans="1:25" hidden="1">
      <c r="A280" s="101"/>
      <c r="B280" s="101">
        <v>20260402</v>
      </c>
      <c r="C280" s="101">
        <v>1900000537</v>
      </c>
      <c r="D280" s="101" t="s">
        <v>534</v>
      </c>
      <c r="E280" s="101" t="s">
        <v>535</v>
      </c>
      <c r="F280" s="102">
        <v>46057</v>
      </c>
      <c r="G280" s="101">
        <v>40</v>
      </c>
      <c r="H280" s="103">
        <v>25000</v>
      </c>
      <c r="I280" s="101" t="s">
        <v>193</v>
      </c>
      <c r="J280" s="101">
        <v>1</v>
      </c>
      <c r="K280" s="101"/>
      <c r="L280" s="101" t="s">
        <v>477</v>
      </c>
      <c r="M280" s="101"/>
      <c r="N280" s="101">
        <v>3010</v>
      </c>
      <c r="O280" s="101"/>
      <c r="P280" s="101" t="s">
        <v>523</v>
      </c>
      <c r="Q280" s="101" t="s">
        <v>796</v>
      </c>
      <c r="R280" s="101"/>
      <c r="S280" s="101"/>
      <c r="T280" s="101"/>
      <c r="U280" s="101"/>
      <c r="V280" s="101" t="s">
        <v>40</v>
      </c>
      <c r="W280" s="101">
        <v>4501502</v>
      </c>
      <c r="X280" t="str">
        <f t="shared" si="4"/>
        <v>Retirement Chgs</v>
      </c>
      <c r="Y280">
        <v>2600</v>
      </c>
    </row>
    <row r="281" spans="1:25" hidden="1">
      <c r="A281" s="101"/>
      <c r="B281" s="101">
        <v>20260404</v>
      </c>
      <c r="C281" s="101">
        <v>1900000216</v>
      </c>
      <c r="D281" s="101" t="s">
        <v>534</v>
      </c>
      <c r="E281" s="101" t="s">
        <v>535</v>
      </c>
      <c r="F281" s="102">
        <v>46116</v>
      </c>
      <c r="G281" s="101">
        <v>40</v>
      </c>
      <c r="H281" s="103">
        <v>2600</v>
      </c>
      <c r="I281" s="101" t="s">
        <v>193</v>
      </c>
      <c r="J281" s="101">
        <v>1</v>
      </c>
      <c r="K281" s="101"/>
      <c r="L281" s="101" t="s">
        <v>208</v>
      </c>
      <c r="M281" s="101"/>
      <c r="N281" s="101">
        <v>3010</v>
      </c>
      <c r="O281" s="101"/>
      <c r="P281" s="101" t="s">
        <v>523</v>
      </c>
      <c r="Q281" s="101" t="s">
        <v>797</v>
      </c>
      <c r="R281" s="101"/>
      <c r="S281" s="101"/>
      <c r="T281" s="101"/>
      <c r="U281" s="101"/>
      <c r="V281" s="101" t="s">
        <v>40</v>
      </c>
      <c r="W281" s="101">
        <v>4501502</v>
      </c>
      <c r="X281" t="str">
        <f t="shared" si="4"/>
        <v>Retirement Chgs</v>
      </c>
      <c r="Y281">
        <v>2600</v>
      </c>
    </row>
    <row r="282" spans="1:25" hidden="1">
      <c r="A282" s="101"/>
      <c r="B282" s="101">
        <v>20260404</v>
      </c>
      <c r="C282" s="101">
        <v>1900000384</v>
      </c>
      <c r="D282" s="101" t="s">
        <v>534</v>
      </c>
      <c r="E282" s="101" t="s">
        <v>535</v>
      </c>
      <c r="F282" s="102">
        <v>46116</v>
      </c>
      <c r="G282" s="101">
        <v>40</v>
      </c>
      <c r="H282" s="103">
        <v>1000</v>
      </c>
      <c r="I282" s="101" t="s">
        <v>193</v>
      </c>
      <c r="J282" s="101">
        <v>1</v>
      </c>
      <c r="K282" s="101"/>
      <c r="L282" s="101" t="s">
        <v>201</v>
      </c>
      <c r="M282" s="101"/>
      <c r="N282" s="101">
        <v>3010</v>
      </c>
      <c r="O282" s="101"/>
      <c r="P282" s="101" t="s">
        <v>536</v>
      </c>
      <c r="Q282" s="101" t="s">
        <v>798</v>
      </c>
      <c r="R282" s="101"/>
      <c r="S282" s="101"/>
      <c r="T282" s="101"/>
      <c r="U282" s="101"/>
      <c r="V282" s="101" t="s">
        <v>40</v>
      </c>
      <c r="W282" s="101">
        <v>4501502</v>
      </c>
      <c r="X282" t="str">
        <f t="shared" si="4"/>
        <v>LC Chgs</v>
      </c>
      <c r="Y282">
        <v>2600</v>
      </c>
    </row>
    <row r="283" spans="1:25" hidden="1">
      <c r="A283" s="101"/>
      <c r="B283" s="101">
        <v>20260404</v>
      </c>
      <c r="C283" s="101">
        <v>1900000385</v>
      </c>
      <c r="D283" s="101" t="s">
        <v>534</v>
      </c>
      <c r="E283" s="101" t="s">
        <v>535</v>
      </c>
      <c r="F283" s="102">
        <v>46116</v>
      </c>
      <c r="G283" s="101">
        <v>40</v>
      </c>
      <c r="H283" s="103">
        <v>1500</v>
      </c>
      <c r="I283" s="101" t="s">
        <v>193</v>
      </c>
      <c r="J283" s="101">
        <v>1</v>
      </c>
      <c r="K283" s="101"/>
      <c r="L283" s="101" t="s">
        <v>204</v>
      </c>
      <c r="M283" s="101"/>
      <c r="N283" s="101">
        <v>3010</v>
      </c>
      <c r="O283" s="101"/>
      <c r="P283" s="101" t="s">
        <v>536</v>
      </c>
      <c r="Q283" s="101" t="s">
        <v>794</v>
      </c>
      <c r="R283" s="101"/>
      <c r="S283" s="101"/>
      <c r="T283" s="101"/>
      <c r="U283" s="101"/>
      <c r="V283" s="101" t="s">
        <v>40</v>
      </c>
      <c r="W283" s="101">
        <v>4501502</v>
      </c>
      <c r="X283" t="str">
        <f t="shared" si="4"/>
        <v>LC Chgs</v>
      </c>
      <c r="Y283">
        <v>1500</v>
      </c>
    </row>
    <row r="284" spans="1:25" hidden="1">
      <c r="A284" s="101"/>
      <c r="B284" s="101">
        <v>20260406</v>
      </c>
      <c r="C284" s="101">
        <v>1900000236</v>
      </c>
      <c r="D284" s="101" t="s">
        <v>534</v>
      </c>
      <c r="E284" s="101" t="s">
        <v>535</v>
      </c>
      <c r="F284" s="102">
        <v>46177</v>
      </c>
      <c r="G284" s="101">
        <v>40</v>
      </c>
      <c r="H284" s="103">
        <v>2600</v>
      </c>
      <c r="I284" s="101" t="s">
        <v>193</v>
      </c>
      <c r="J284" s="101">
        <v>1</v>
      </c>
      <c r="K284" s="101"/>
      <c r="L284" s="101" t="s">
        <v>210</v>
      </c>
      <c r="M284" s="101"/>
      <c r="N284" s="101">
        <v>3010</v>
      </c>
      <c r="O284" s="101"/>
      <c r="P284" s="101" t="s">
        <v>523</v>
      </c>
      <c r="Q284" s="101" t="s">
        <v>799</v>
      </c>
      <c r="R284" s="101"/>
      <c r="S284" s="101"/>
      <c r="T284" s="101"/>
      <c r="U284" s="101"/>
      <c r="V284" s="101" t="s">
        <v>40</v>
      </c>
      <c r="W284" s="101">
        <v>4501502</v>
      </c>
      <c r="X284" t="str">
        <f t="shared" si="4"/>
        <v>Retirement Chgs</v>
      </c>
      <c r="Y284">
        <v>1326045.1499999999</v>
      </c>
    </row>
    <row r="285" spans="1:25" hidden="1">
      <c r="A285" s="101"/>
      <c r="B285" s="101">
        <v>20260406</v>
      </c>
      <c r="C285" s="101">
        <v>1900000658</v>
      </c>
      <c r="D285" s="101" t="s">
        <v>534</v>
      </c>
      <c r="E285" s="101" t="s">
        <v>535</v>
      </c>
      <c r="F285" s="102">
        <v>46177</v>
      </c>
      <c r="G285" s="101">
        <v>40</v>
      </c>
      <c r="H285" s="103">
        <v>234796.29</v>
      </c>
      <c r="I285" s="101" t="s">
        <v>193</v>
      </c>
      <c r="J285" s="101">
        <v>1</v>
      </c>
      <c r="K285" s="101"/>
      <c r="L285" s="101" t="s">
        <v>378</v>
      </c>
      <c r="M285" s="36" t="s">
        <v>378</v>
      </c>
      <c r="N285" s="101">
        <v>3010</v>
      </c>
      <c r="O285" s="101"/>
      <c r="P285" s="101" t="s">
        <v>536</v>
      </c>
      <c r="Q285" s="101" t="s">
        <v>800</v>
      </c>
      <c r="R285" s="101"/>
      <c r="S285" s="101"/>
      <c r="T285" s="101"/>
      <c r="U285" s="101"/>
      <c r="V285" s="101" t="s">
        <v>40</v>
      </c>
      <c r="W285" s="101">
        <v>4501502</v>
      </c>
      <c r="X285" t="str">
        <f t="shared" si="4"/>
        <v>LC Chgs</v>
      </c>
      <c r="Y285">
        <v>401366.4</v>
      </c>
    </row>
    <row r="286" spans="1:25" hidden="1">
      <c r="A286" s="101"/>
      <c r="B286" s="101">
        <v>20260407</v>
      </c>
      <c r="C286" s="101">
        <v>1900000237</v>
      </c>
      <c r="D286" s="101" t="s">
        <v>534</v>
      </c>
      <c r="E286" s="101" t="s">
        <v>535</v>
      </c>
      <c r="F286" s="102">
        <v>46207</v>
      </c>
      <c r="G286" s="101">
        <v>40</v>
      </c>
      <c r="H286" s="103">
        <v>2600</v>
      </c>
      <c r="I286" s="101" t="s">
        <v>193</v>
      </c>
      <c r="J286" s="101">
        <v>1</v>
      </c>
      <c r="K286" s="101"/>
      <c r="L286" s="101" t="s">
        <v>211</v>
      </c>
      <c r="M286" s="101"/>
      <c r="N286" s="101">
        <v>3010</v>
      </c>
      <c r="O286" s="101"/>
      <c r="P286" s="101" t="s">
        <v>523</v>
      </c>
      <c r="Q286" s="101" t="s">
        <v>801</v>
      </c>
      <c r="R286" s="101"/>
      <c r="S286" s="101"/>
      <c r="T286" s="101"/>
      <c r="U286" s="101"/>
      <c r="V286" s="101" t="s">
        <v>40</v>
      </c>
      <c r="W286" s="101">
        <v>4501502</v>
      </c>
      <c r="X286" t="str">
        <f t="shared" si="4"/>
        <v>Retirement Chgs</v>
      </c>
      <c r="Y286">
        <v>401851.16</v>
      </c>
    </row>
    <row r="287" spans="1:25" hidden="1">
      <c r="A287" s="101"/>
      <c r="B287" s="101">
        <v>20260408</v>
      </c>
      <c r="C287" s="101">
        <v>1900000625</v>
      </c>
      <c r="D287" s="101" t="s">
        <v>534</v>
      </c>
      <c r="E287" s="101" t="s">
        <v>535</v>
      </c>
      <c r="F287" s="102">
        <v>46238</v>
      </c>
      <c r="G287" s="101">
        <v>40</v>
      </c>
      <c r="H287" s="103">
        <v>2500</v>
      </c>
      <c r="I287" s="101" t="s">
        <v>193</v>
      </c>
      <c r="J287" s="101">
        <v>1</v>
      </c>
      <c r="K287" s="101"/>
      <c r="L287" s="101" t="s">
        <v>216</v>
      </c>
      <c r="M287" s="101"/>
      <c r="N287" s="101">
        <v>3010</v>
      </c>
      <c r="O287" s="101"/>
      <c r="P287" s="101" t="s">
        <v>536</v>
      </c>
      <c r="Q287" s="101" t="s">
        <v>802</v>
      </c>
      <c r="R287" s="101"/>
      <c r="S287" s="101"/>
      <c r="T287" s="101"/>
      <c r="U287" s="101"/>
      <c r="V287" s="101" t="s">
        <v>40</v>
      </c>
      <c r="W287" s="101">
        <v>4501502</v>
      </c>
      <c r="X287" t="str">
        <f t="shared" si="4"/>
        <v>LC Chgs</v>
      </c>
      <c r="Y287">
        <v>30500</v>
      </c>
    </row>
    <row r="288" spans="1:25" hidden="1">
      <c r="A288" s="101"/>
      <c r="B288" s="101">
        <v>20260409</v>
      </c>
      <c r="C288" s="101">
        <v>1900000238</v>
      </c>
      <c r="D288" s="101" t="s">
        <v>534</v>
      </c>
      <c r="E288" s="101" t="s">
        <v>535</v>
      </c>
      <c r="F288" s="102">
        <v>46269</v>
      </c>
      <c r="G288" s="101">
        <v>40</v>
      </c>
      <c r="H288" s="103">
        <v>2600</v>
      </c>
      <c r="I288" s="101" t="s">
        <v>193</v>
      </c>
      <c r="J288" s="101">
        <v>1</v>
      </c>
      <c r="K288" s="101"/>
      <c r="L288" s="101" t="s">
        <v>218</v>
      </c>
      <c r="M288" s="101"/>
      <c r="N288" s="101">
        <v>3010</v>
      </c>
      <c r="O288" s="101"/>
      <c r="P288" s="101" t="s">
        <v>523</v>
      </c>
      <c r="Q288" s="101" t="s">
        <v>803</v>
      </c>
      <c r="R288" s="101"/>
      <c r="S288" s="101"/>
      <c r="T288" s="101"/>
      <c r="U288" s="101"/>
      <c r="V288" s="101" t="s">
        <v>40</v>
      </c>
      <c r="W288" s="101">
        <v>4501502</v>
      </c>
      <c r="X288" t="str">
        <f t="shared" si="4"/>
        <v>Retirement Chgs</v>
      </c>
      <c r="Y288">
        <v>2600</v>
      </c>
    </row>
    <row r="289" spans="1:25" hidden="1">
      <c r="A289" s="101"/>
      <c r="B289" s="101">
        <v>20260409</v>
      </c>
      <c r="C289" s="101">
        <v>1900000528</v>
      </c>
      <c r="D289" s="101" t="s">
        <v>534</v>
      </c>
      <c r="E289" s="101" t="s">
        <v>535</v>
      </c>
      <c r="F289" s="102">
        <v>46269</v>
      </c>
      <c r="G289" s="101">
        <v>40</v>
      </c>
      <c r="H289" s="103">
        <v>526373.72</v>
      </c>
      <c r="I289" s="101" t="s">
        <v>193</v>
      </c>
      <c r="J289" s="101">
        <v>1</v>
      </c>
      <c r="K289" s="101"/>
      <c r="L289" s="101" t="s">
        <v>375</v>
      </c>
      <c r="M289" s="101"/>
      <c r="N289" s="101">
        <v>3010</v>
      </c>
      <c r="O289" s="101"/>
      <c r="P289" s="101" t="s">
        <v>536</v>
      </c>
      <c r="Q289" s="101" t="s">
        <v>804</v>
      </c>
      <c r="R289" s="101"/>
      <c r="S289" s="101"/>
      <c r="T289" s="101"/>
      <c r="U289" s="101"/>
      <c r="V289" s="101" t="s">
        <v>40</v>
      </c>
      <c r="W289" s="101">
        <v>4501502</v>
      </c>
      <c r="X289" t="str">
        <f t="shared" si="4"/>
        <v>LC Chgs</v>
      </c>
      <c r="Y289">
        <v>563039.81999999995</v>
      </c>
    </row>
    <row r="290" spans="1:25" hidden="1">
      <c r="A290" s="101"/>
      <c r="B290" s="101">
        <v>20260410</v>
      </c>
      <c r="C290" s="101">
        <v>1900000239</v>
      </c>
      <c r="D290" s="101" t="s">
        <v>534</v>
      </c>
      <c r="E290" s="101" t="s">
        <v>535</v>
      </c>
      <c r="F290" s="102">
        <v>46299</v>
      </c>
      <c r="G290" s="101">
        <v>40</v>
      </c>
      <c r="H290" s="103">
        <v>2600</v>
      </c>
      <c r="I290" s="101" t="s">
        <v>193</v>
      </c>
      <c r="J290" s="101">
        <v>1</v>
      </c>
      <c r="K290" s="101"/>
      <c r="L290" s="101" t="s">
        <v>214</v>
      </c>
      <c r="M290" s="101"/>
      <c r="N290" s="101">
        <v>3010</v>
      </c>
      <c r="O290" s="101"/>
      <c r="P290" s="101" t="s">
        <v>523</v>
      </c>
      <c r="Q290" s="101" t="s">
        <v>805</v>
      </c>
      <c r="R290" s="101"/>
      <c r="S290" s="101"/>
      <c r="T290" s="101"/>
      <c r="U290" s="101"/>
      <c r="V290" s="101" t="s">
        <v>40</v>
      </c>
      <c r="W290" s="101">
        <v>4501502</v>
      </c>
      <c r="X290" t="str">
        <f t="shared" si="4"/>
        <v>Retirement Chgs</v>
      </c>
      <c r="Y290">
        <v>2600</v>
      </c>
    </row>
    <row r="291" spans="1:25" hidden="1">
      <c r="A291" s="101"/>
      <c r="B291" s="101">
        <v>20260410</v>
      </c>
      <c r="C291" s="101">
        <v>1900000395</v>
      </c>
      <c r="D291" s="101" t="s">
        <v>534</v>
      </c>
      <c r="E291" s="101" t="s">
        <v>535</v>
      </c>
      <c r="F291" s="102">
        <v>46299</v>
      </c>
      <c r="G291" s="101">
        <v>40</v>
      </c>
      <c r="H291" s="103">
        <v>2500</v>
      </c>
      <c r="I291" s="101" t="s">
        <v>193</v>
      </c>
      <c r="J291" s="101">
        <v>1</v>
      </c>
      <c r="K291" s="101"/>
      <c r="L291" s="101" t="s">
        <v>215</v>
      </c>
      <c r="M291" s="101"/>
      <c r="N291" s="101">
        <v>3010</v>
      </c>
      <c r="O291" s="101"/>
      <c r="P291" s="101" t="s">
        <v>536</v>
      </c>
      <c r="Q291" s="101" t="s">
        <v>806</v>
      </c>
      <c r="R291" s="101"/>
      <c r="S291" s="101"/>
      <c r="T291" s="101"/>
      <c r="U291" s="101"/>
      <c r="V291" s="101" t="s">
        <v>40</v>
      </c>
      <c r="W291" s="101">
        <v>4501502</v>
      </c>
      <c r="X291" t="str">
        <f t="shared" si="4"/>
        <v>LC Chgs</v>
      </c>
      <c r="Y291">
        <v>2600</v>
      </c>
    </row>
    <row r="292" spans="1:25" hidden="1">
      <c r="A292" s="101"/>
      <c r="B292" s="101">
        <v>20260410</v>
      </c>
      <c r="C292" s="101">
        <v>1900000396</v>
      </c>
      <c r="D292" s="101" t="s">
        <v>534</v>
      </c>
      <c r="E292" s="101" t="s">
        <v>535</v>
      </c>
      <c r="F292" s="102">
        <v>46299</v>
      </c>
      <c r="G292" s="101">
        <v>40</v>
      </c>
      <c r="H292" s="103">
        <v>2500</v>
      </c>
      <c r="I292" s="101" t="s">
        <v>193</v>
      </c>
      <c r="J292" s="101">
        <v>1</v>
      </c>
      <c r="K292" s="101"/>
      <c r="L292" s="101" t="s">
        <v>212</v>
      </c>
      <c r="M292" s="101"/>
      <c r="N292" s="101">
        <v>3010</v>
      </c>
      <c r="O292" s="101"/>
      <c r="P292" s="101" t="s">
        <v>536</v>
      </c>
      <c r="Q292" s="101" t="s">
        <v>807</v>
      </c>
      <c r="R292" s="101"/>
      <c r="S292" s="101"/>
      <c r="T292" s="101"/>
      <c r="U292" s="101"/>
      <c r="V292" s="101" t="s">
        <v>40</v>
      </c>
      <c r="W292" s="101">
        <v>4501502</v>
      </c>
      <c r="X292" t="str">
        <f t="shared" si="4"/>
        <v>LC Chgs</v>
      </c>
      <c r="Y292">
        <v>11241</v>
      </c>
    </row>
    <row r="293" spans="1:25" hidden="1">
      <c r="A293" s="101"/>
      <c r="B293" s="101">
        <v>20260410</v>
      </c>
      <c r="C293" s="101">
        <v>1900000397</v>
      </c>
      <c r="D293" s="101" t="s">
        <v>534</v>
      </c>
      <c r="E293" s="101" t="s">
        <v>535</v>
      </c>
      <c r="F293" s="102">
        <v>46299</v>
      </c>
      <c r="G293" s="101">
        <v>40</v>
      </c>
      <c r="H293" s="103">
        <v>2500</v>
      </c>
      <c r="I293" s="101" t="s">
        <v>193</v>
      </c>
      <c r="J293" s="101">
        <v>1</v>
      </c>
      <c r="K293" s="101"/>
      <c r="L293" s="101" t="s">
        <v>213</v>
      </c>
      <c r="M293" s="101"/>
      <c r="N293" s="101">
        <v>3010</v>
      </c>
      <c r="O293" s="101"/>
      <c r="P293" s="101" t="s">
        <v>597</v>
      </c>
      <c r="Q293" s="101" t="s">
        <v>808</v>
      </c>
      <c r="R293" s="101"/>
      <c r="S293" s="101"/>
      <c r="T293" s="101"/>
      <c r="U293" s="101"/>
      <c r="V293" s="101" t="s">
        <v>40</v>
      </c>
      <c r="W293" s="101">
        <v>4501502</v>
      </c>
      <c r="X293" t="str">
        <f t="shared" si="4"/>
        <v>Retirement chgs</v>
      </c>
      <c r="Y293">
        <v>2600</v>
      </c>
    </row>
    <row r="294" spans="1:25" hidden="1">
      <c r="A294" s="101"/>
      <c r="B294" s="101">
        <v>20260413</v>
      </c>
      <c r="C294" s="101">
        <v>1900000177</v>
      </c>
      <c r="D294" s="101" t="s">
        <v>534</v>
      </c>
      <c r="E294" s="101" t="s">
        <v>535</v>
      </c>
      <c r="F294" s="101" t="s">
        <v>606</v>
      </c>
      <c r="G294" s="101">
        <v>40</v>
      </c>
      <c r="H294" s="103">
        <v>2600</v>
      </c>
      <c r="I294" s="101" t="s">
        <v>193</v>
      </c>
      <c r="J294" s="101">
        <v>1</v>
      </c>
      <c r="K294" s="101"/>
      <c r="L294" s="101" t="s">
        <v>220</v>
      </c>
      <c r="M294" s="101"/>
      <c r="N294" s="101">
        <v>3010</v>
      </c>
      <c r="O294" s="101"/>
      <c r="P294" s="101" t="s">
        <v>523</v>
      </c>
      <c r="Q294" s="101" t="s">
        <v>809</v>
      </c>
      <c r="R294" s="101"/>
      <c r="S294" s="101"/>
      <c r="T294" s="101"/>
      <c r="U294" s="101"/>
      <c r="V294" s="101" t="s">
        <v>40</v>
      </c>
      <c r="W294" s="101">
        <v>4501502</v>
      </c>
      <c r="X294" t="str">
        <f t="shared" si="4"/>
        <v>Retirement Chgs</v>
      </c>
      <c r="Y294">
        <v>2600</v>
      </c>
    </row>
    <row r="295" spans="1:25" hidden="1">
      <c r="A295" s="101"/>
      <c r="B295" s="101">
        <v>20260413</v>
      </c>
      <c r="C295" s="101">
        <v>1900000178</v>
      </c>
      <c r="D295" s="101" t="s">
        <v>534</v>
      </c>
      <c r="E295" s="101" t="s">
        <v>535</v>
      </c>
      <c r="F295" s="101" t="s">
        <v>606</v>
      </c>
      <c r="G295" s="101">
        <v>40</v>
      </c>
      <c r="H295" s="103">
        <v>2600</v>
      </c>
      <c r="I295" s="101" t="s">
        <v>193</v>
      </c>
      <c r="J295" s="101">
        <v>1</v>
      </c>
      <c r="K295" s="101"/>
      <c r="L295" s="101" t="s">
        <v>217</v>
      </c>
      <c r="M295" s="101"/>
      <c r="N295" s="101">
        <v>3010</v>
      </c>
      <c r="O295" s="101"/>
      <c r="P295" s="101" t="s">
        <v>523</v>
      </c>
      <c r="Q295" s="101" t="s">
        <v>810</v>
      </c>
      <c r="R295" s="101"/>
      <c r="S295" s="101"/>
      <c r="T295" s="101"/>
      <c r="U295" s="101"/>
      <c r="V295" s="101" t="s">
        <v>40</v>
      </c>
      <c r="W295" s="101">
        <v>4501502</v>
      </c>
      <c r="X295" t="str">
        <f t="shared" si="4"/>
        <v>Retirement Chgs</v>
      </c>
      <c r="Y295">
        <v>654388.47999999998</v>
      </c>
    </row>
    <row r="296" spans="1:25" hidden="1">
      <c r="A296" s="101"/>
      <c r="B296" s="101">
        <v>20260413</v>
      </c>
      <c r="C296" s="101">
        <v>1900000179</v>
      </c>
      <c r="D296" s="101" t="s">
        <v>534</v>
      </c>
      <c r="E296" s="101" t="s">
        <v>535</v>
      </c>
      <c r="F296" s="101" t="s">
        <v>606</v>
      </c>
      <c r="G296" s="101">
        <v>40</v>
      </c>
      <c r="H296" s="103">
        <v>2600</v>
      </c>
      <c r="I296" s="101" t="s">
        <v>193</v>
      </c>
      <c r="J296" s="101">
        <v>1</v>
      </c>
      <c r="K296" s="101"/>
      <c r="L296" s="101" t="s">
        <v>219</v>
      </c>
      <c r="M296" s="101"/>
      <c r="N296" s="101">
        <v>3010</v>
      </c>
      <c r="O296" s="101"/>
      <c r="P296" s="101" t="s">
        <v>523</v>
      </c>
      <c r="Q296" s="101" t="s">
        <v>811</v>
      </c>
      <c r="R296" s="101"/>
      <c r="S296" s="101"/>
      <c r="T296" s="101"/>
      <c r="U296" s="101"/>
      <c r="V296" s="101" t="s">
        <v>40</v>
      </c>
      <c r="W296" s="101">
        <v>4501502</v>
      </c>
      <c r="X296" t="str">
        <f t="shared" si="4"/>
        <v>Retirement Chgs</v>
      </c>
      <c r="Y296">
        <v>2600</v>
      </c>
    </row>
    <row r="297" spans="1:25" hidden="1">
      <c r="A297" s="101"/>
      <c r="B297" s="101">
        <v>20260413</v>
      </c>
      <c r="C297" s="101">
        <v>1900000399</v>
      </c>
      <c r="D297" s="101" t="s">
        <v>534</v>
      </c>
      <c r="E297" s="101" t="s">
        <v>535</v>
      </c>
      <c r="F297" s="101" t="s">
        <v>606</v>
      </c>
      <c r="G297" s="101">
        <v>40</v>
      </c>
      <c r="H297" s="103">
        <v>1500</v>
      </c>
      <c r="I297" s="101" t="s">
        <v>193</v>
      </c>
      <c r="J297" s="101">
        <v>1</v>
      </c>
      <c r="K297" s="101"/>
      <c r="L297" s="101" t="s">
        <v>205</v>
      </c>
      <c r="M297" s="101"/>
      <c r="N297" s="101">
        <v>3010</v>
      </c>
      <c r="O297" s="101"/>
      <c r="P297" s="101" t="s">
        <v>536</v>
      </c>
      <c r="Q297" s="101" t="s">
        <v>794</v>
      </c>
      <c r="R297" s="101"/>
      <c r="S297" s="101"/>
      <c r="T297" s="101"/>
      <c r="U297" s="101"/>
      <c r="V297" s="101" t="s">
        <v>40</v>
      </c>
      <c r="W297" s="101">
        <v>4501502</v>
      </c>
      <c r="X297" t="str">
        <f t="shared" si="4"/>
        <v>LC Chgs</v>
      </c>
      <c r="Y297">
        <v>-23000</v>
      </c>
    </row>
    <row r="298" spans="1:25" hidden="1">
      <c r="A298" s="101"/>
      <c r="B298" s="101">
        <v>20260413</v>
      </c>
      <c r="C298" s="101">
        <v>1900000642</v>
      </c>
      <c r="D298" s="101" t="s">
        <v>534</v>
      </c>
      <c r="E298" s="101" t="s">
        <v>535</v>
      </c>
      <c r="F298" s="101" t="s">
        <v>606</v>
      </c>
      <c r="G298" s="101">
        <v>40</v>
      </c>
      <c r="H298" s="103">
        <v>2500</v>
      </c>
      <c r="I298" s="101" t="s">
        <v>193</v>
      </c>
      <c r="J298" s="101">
        <v>1</v>
      </c>
      <c r="K298" s="101"/>
      <c r="L298" s="101" t="s">
        <v>411</v>
      </c>
      <c r="M298" s="101"/>
      <c r="N298" s="101">
        <v>3010</v>
      </c>
      <c r="O298" s="101"/>
      <c r="P298" s="101" t="s">
        <v>523</v>
      </c>
      <c r="Q298" s="101" t="s">
        <v>812</v>
      </c>
      <c r="R298" s="101"/>
      <c r="S298" s="101"/>
      <c r="T298" s="101"/>
      <c r="U298" s="101"/>
      <c r="V298" s="101" t="s">
        <v>40</v>
      </c>
      <c r="W298" s="101">
        <v>4501502</v>
      </c>
      <c r="X298" t="str">
        <f t="shared" si="4"/>
        <v>Retirement Chgs</v>
      </c>
      <c r="Y298">
        <v>-12500</v>
      </c>
    </row>
    <row r="299" spans="1:25" hidden="1">
      <c r="A299" s="101"/>
      <c r="B299" s="101">
        <v>20260413</v>
      </c>
      <c r="C299" s="101">
        <v>1900000643</v>
      </c>
      <c r="D299" s="101" t="s">
        <v>534</v>
      </c>
      <c r="E299" s="101" t="s">
        <v>535</v>
      </c>
      <c r="F299" s="101" t="s">
        <v>606</v>
      </c>
      <c r="G299" s="101">
        <v>40</v>
      </c>
      <c r="H299" s="103">
        <v>2500</v>
      </c>
      <c r="I299" s="101" t="s">
        <v>193</v>
      </c>
      <c r="J299" s="101">
        <v>1</v>
      </c>
      <c r="K299" s="101"/>
      <c r="L299" s="101" t="s">
        <v>412</v>
      </c>
      <c r="M299" s="101"/>
      <c r="N299" s="101">
        <v>3010</v>
      </c>
      <c r="O299" s="101"/>
      <c r="P299" s="101" t="s">
        <v>523</v>
      </c>
      <c r="Q299" s="101" t="s">
        <v>812</v>
      </c>
      <c r="R299" s="101"/>
      <c r="S299" s="101"/>
      <c r="T299" s="101"/>
      <c r="U299" s="101"/>
      <c r="V299" s="101" t="s">
        <v>40</v>
      </c>
      <c r="W299" s="101">
        <v>4501502</v>
      </c>
      <c r="X299" t="str">
        <f t="shared" si="4"/>
        <v>Retirement Chgs</v>
      </c>
      <c r="Y299">
        <v>-20833.330000000002</v>
      </c>
    </row>
    <row r="300" spans="1:25" hidden="1">
      <c r="A300" s="101"/>
      <c r="B300" s="101">
        <v>20260413</v>
      </c>
      <c r="C300" s="101">
        <v>1900000661</v>
      </c>
      <c r="D300" s="101" t="s">
        <v>534</v>
      </c>
      <c r="E300" s="101" t="s">
        <v>535</v>
      </c>
      <c r="F300" s="101" t="s">
        <v>606</v>
      </c>
      <c r="G300" s="101">
        <v>40</v>
      </c>
      <c r="H300" s="103">
        <v>30000</v>
      </c>
      <c r="I300" s="101" t="s">
        <v>193</v>
      </c>
      <c r="J300" s="101">
        <v>1</v>
      </c>
      <c r="K300" s="101"/>
      <c r="L300" s="101" t="s">
        <v>490</v>
      </c>
      <c r="M300" s="101"/>
      <c r="N300" s="101">
        <v>3010</v>
      </c>
      <c r="O300" s="101"/>
      <c r="P300" s="101" t="s">
        <v>523</v>
      </c>
      <c r="Q300" s="101" t="s">
        <v>796</v>
      </c>
      <c r="R300" s="101"/>
      <c r="S300" s="101"/>
      <c r="T300" s="101"/>
      <c r="U300" s="101"/>
      <c r="V300" s="101" t="s">
        <v>40</v>
      </c>
      <c r="W300" s="101">
        <v>4501502</v>
      </c>
      <c r="X300" t="str">
        <f t="shared" si="4"/>
        <v>Retirement Chgs</v>
      </c>
      <c r="Y300">
        <v>-8333.33</v>
      </c>
    </row>
    <row r="301" spans="1:25" hidden="1">
      <c r="A301" s="101"/>
      <c r="B301" s="101">
        <v>20260413</v>
      </c>
      <c r="C301" s="101">
        <v>1900000662</v>
      </c>
      <c r="D301" s="101" t="s">
        <v>534</v>
      </c>
      <c r="E301" s="101" t="s">
        <v>535</v>
      </c>
      <c r="F301" s="101" t="s">
        <v>606</v>
      </c>
      <c r="G301" s="101">
        <v>40</v>
      </c>
      <c r="H301" s="103">
        <v>30000</v>
      </c>
      <c r="I301" s="101" t="s">
        <v>193</v>
      </c>
      <c r="J301" s="101">
        <v>1</v>
      </c>
      <c r="K301" s="101"/>
      <c r="L301" s="101" t="s">
        <v>615</v>
      </c>
      <c r="M301" s="101"/>
      <c r="N301" s="101">
        <v>3010</v>
      </c>
      <c r="O301" s="101"/>
      <c r="P301" s="101" t="s">
        <v>523</v>
      </c>
      <c r="Q301" s="101" t="s">
        <v>796</v>
      </c>
      <c r="R301" s="101"/>
      <c r="S301" s="101"/>
      <c r="T301" s="101"/>
      <c r="U301" s="101"/>
      <c r="V301" s="101" t="s">
        <v>40</v>
      </c>
      <c r="W301" s="101">
        <v>4501502</v>
      </c>
      <c r="X301" t="str">
        <f t="shared" si="4"/>
        <v>Retirement Chgs</v>
      </c>
      <c r="Y301">
        <v>2600</v>
      </c>
    </row>
    <row r="302" spans="1:25" hidden="1">
      <c r="A302" s="101"/>
      <c r="B302" s="101">
        <v>20260416</v>
      </c>
      <c r="C302" s="101">
        <v>1900000180</v>
      </c>
      <c r="D302" s="101" t="s">
        <v>534</v>
      </c>
      <c r="E302" s="101" t="s">
        <v>535</v>
      </c>
      <c r="F302" s="101" t="s">
        <v>530</v>
      </c>
      <c r="G302" s="101">
        <v>40</v>
      </c>
      <c r="H302" s="103">
        <v>2600</v>
      </c>
      <c r="I302" s="101" t="s">
        <v>193</v>
      </c>
      <c r="J302" s="101">
        <v>1</v>
      </c>
      <c r="K302" s="101"/>
      <c r="L302" s="101" t="s">
        <v>222</v>
      </c>
      <c r="M302" s="101"/>
      <c r="N302" s="101">
        <v>3010</v>
      </c>
      <c r="O302" s="101"/>
      <c r="P302" s="101" t="s">
        <v>523</v>
      </c>
      <c r="Q302" s="101" t="s">
        <v>813</v>
      </c>
      <c r="R302" s="101"/>
      <c r="S302" s="101"/>
      <c r="T302" s="101"/>
      <c r="U302" s="101"/>
      <c r="V302" s="101" t="s">
        <v>40</v>
      </c>
      <c r="W302" s="101">
        <v>4501502</v>
      </c>
      <c r="X302" t="str">
        <f t="shared" si="4"/>
        <v>Retirement Chgs</v>
      </c>
      <c r="Y302">
        <v>2600</v>
      </c>
    </row>
    <row r="303" spans="1:25" hidden="1">
      <c r="A303" s="101"/>
      <c r="B303" s="101">
        <v>20260416</v>
      </c>
      <c r="C303" s="101">
        <v>1900000533</v>
      </c>
      <c r="D303" s="101" t="s">
        <v>534</v>
      </c>
      <c r="E303" s="101" t="s">
        <v>535</v>
      </c>
      <c r="F303" s="101" t="s">
        <v>530</v>
      </c>
      <c r="G303" s="101">
        <v>40</v>
      </c>
      <c r="H303" s="103">
        <v>35566.1</v>
      </c>
      <c r="I303" s="101" t="s">
        <v>193</v>
      </c>
      <c r="J303" s="101">
        <v>1</v>
      </c>
      <c r="K303" s="101"/>
      <c r="L303" s="101" t="s">
        <v>375</v>
      </c>
      <c r="M303" s="101"/>
      <c r="N303" s="101">
        <v>3010</v>
      </c>
      <c r="O303" s="101"/>
      <c r="P303" s="101" t="s">
        <v>536</v>
      </c>
      <c r="Q303" s="101" t="s">
        <v>814</v>
      </c>
      <c r="R303" s="101"/>
      <c r="S303" s="101"/>
      <c r="T303" s="101"/>
      <c r="U303" s="101"/>
      <c r="V303" s="101" t="s">
        <v>40</v>
      </c>
      <c r="W303" s="101">
        <v>4501502</v>
      </c>
      <c r="X303" t="str">
        <f t="shared" si="4"/>
        <v>LC Chgs</v>
      </c>
      <c r="Y303">
        <v>50</v>
      </c>
    </row>
    <row r="304" spans="1:25" hidden="1">
      <c r="A304" s="101"/>
      <c r="B304" s="101">
        <v>20260416</v>
      </c>
      <c r="C304" s="101">
        <v>1900000626</v>
      </c>
      <c r="D304" s="101" t="s">
        <v>534</v>
      </c>
      <c r="E304" s="101" t="s">
        <v>535</v>
      </c>
      <c r="F304" s="101" t="s">
        <v>530</v>
      </c>
      <c r="G304" s="101">
        <v>40</v>
      </c>
      <c r="H304" s="103">
        <v>2500</v>
      </c>
      <c r="I304" s="101" t="s">
        <v>193</v>
      </c>
      <c r="J304" s="101">
        <v>1</v>
      </c>
      <c r="K304" s="101"/>
      <c r="L304" s="101" t="s">
        <v>221</v>
      </c>
      <c r="M304" s="101"/>
      <c r="N304" s="101">
        <v>3010</v>
      </c>
      <c r="O304" s="101"/>
      <c r="P304" s="101" t="s">
        <v>523</v>
      </c>
      <c r="Q304" s="101" t="s">
        <v>815</v>
      </c>
      <c r="R304" s="101"/>
      <c r="S304" s="101"/>
      <c r="T304" s="101"/>
      <c r="U304" s="101"/>
      <c r="V304" s="101" t="s">
        <v>40</v>
      </c>
      <c r="W304" s="101">
        <v>4501502</v>
      </c>
      <c r="X304" t="str">
        <f t="shared" si="4"/>
        <v>LC</v>
      </c>
      <c r="Y304">
        <v>1500</v>
      </c>
    </row>
    <row r="305" spans="1:25" hidden="1">
      <c r="A305" s="101"/>
      <c r="B305" s="101">
        <v>20260417</v>
      </c>
      <c r="C305" s="101">
        <v>1900000627</v>
      </c>
      <c r="D305" s="101" t="s">
        <v>534</v>
      </c>
      <c r="E305" s="101" t="s">
        <v>535</v>
      </c>
      <c r="F305" s="101" t="s">
        <v>658</v>
      </c>
      <c r="G305" s="101">
        <v>40</v>
      </c>
      <c r="H305" s="103">
        <v>2500</v>
      </c>
      <c r="I305" s="101" t="s">
        <v>193</v>
      </c>
      <c r="J305" s="101">
        <v>1</v>
      </c>
      <c r="K305" s="101"/>
      <c r="L305" s="101" t="s">
        <v>223</v>
      </c>
      <c r="M305" s="101"/>
      <c r="N305" s="101">
        <v>3010</v>
      </c>
      <c r="O305" s="101"/>
      <c r="P305" s="101" t="s">
        <v>523</v>
      </c>
      <c r="Q305" s="101" t="s">
        <v>816</v>
      </c>
      <c r="R305" s="101"/>
      <c r="S305" s="101"/>
      <c r="T305" s="101"/>
      <c r="U305" s="101"/>
      <c r="V305" s="101" t="s">
        <v>40</v>
      </c>
      <c r="W305" s="101">
        <v>4501502</v>
      </c>
      <c r="X305" t="str">
        <f t="shared" si="4"/>
        <v>LC</v>
      </c>
      <c r="Y305">
        <v>2600</v>
      </c>
    </row>
    <row r="306" spans="1:25" hidden="1">
      <c r="A306" s="101"/>
      <c r="B306" s="101">
        <v>20260417</v>
      </c>
      <c r="C306" s="101">
        <v>1900000641</v>
      </c>
      <c r="D306" s="101" t="s">
        <v>534</v>
      </c>
      <c r="E306" s="101" t="s">
        <v>535</v>
      </c>
      <c r="F306" s="101" t="s">
        <v>658</v>
      </c>
      <c r="G306" s="101">
        <v>40</v>
      </c>
      <c r="H306" s="103">
        <v>10741</v>
      </c>
      <c r="I306" s="101" t="s">
        <v>193</v>
      </c>
      <c r="J306" s="101">
        <v>1</v>
      </c>
      <c r="K306" s="101"/>
      <c r="L306" s="101" t="s">
        <v>262</v>
      </c>
      <c r="M306" s="101"/>
      <c r="N306" s="101">
        <v>3010</v>
      </c>
      <c r="O306" s="101"/>
      <c r="P306" s="101" t="s">
        <v>536</v>
      </c>
      <c r="Q306" s="101" t="s">
        <v>817</v>
      </c>
      <c r="R306" s="101"/>
      <c r="S306" s="101"/>
      <c r="T306" s="101"/>
      <c r="U306" s="101"/>
      <c r="V306" s="101" t="s">
        <v>40</v>
      </c>
      <c r="W306" s="101">
        <v>4501502</v>
      </c>
      <c r="X306" t="str">
        <f t="shared" si="4"/>
        <v xml:space="preserve">LC </v>
      </c>
      <c r="Y306">
        <v>2600</v>
      </c>
    </row>
    <row r="307" spans="1:25" hidden="1">
      <c r="A307" s="101"/>
      <c r="B307" s="101">
        <v>20260418</v>
      </c>
      <c r="C307" s="101">
        <v>1900000623</v>
      </c>
      <c r="D307" s="101" t="s">
        <v>534</v>
      </c>
      <c r="E307" s="101" t="s">
        <v>535</v>
      </c>
      <c r="F307" s="101" t="s">
        <v>672</v>
      </c>
      <c r="G307" s="101">
        <v>40</v>
      </c>
      <c r="H307" s="103">
        <v>2500</v>
      </c>
      <c r="I307" s="101" t="s">
        <v>193</v>
      </c>
      <c r="J307" s="101">
        <v>1</v>
      </c>
      <c r="K307" s="101"/>
      <c r="L307" s="101" t="s">
        <v>224</v>
      </c>
      <c r="M307" s="101"/>
      <c r="N307" s="101">
        <v>3010</v>
      </c>
      <c r="O307" s="101"/>
      <c r="P307" s="101" t="s">
        <v>523</v>
      </c>
      <c r="Q307" s="101" t="s">
        <v>818</v>
      </c>
      <c r="R307" s="101"/>
      <c r="S307" s="101"/>
      <c r="T307" s="101"/>
      <c r="U307" s="101"/>
      <c r="V307" s="101" t="s">
        <v>40</v>
      </c>
      <c r="W307" s="101">
        <v>4501502</v>
      </c>
      <c r="X307" t="str">
        <f t="shared" si="4"/>
        <v>LC</v>
      </c>
      <c r="Y307">
        <v>654388.47999999998</v>
      </c>
    </row>
    <row r="308" spans="1:25" hidden="1">
      <c r="A308" s="101"/>
      <c r="B308" s="101">
        <v>20260418</v>
      </c>
      <c r="C308" s="101">
        <v>1900000624</v>
      </c>
      <c r="D308" s="101" t="s">
        <v>534</v>
      </c>
      <c r="E308" s="101" t="s">
        <v>535</v>
      </c>
      <c r="F308" s="101" t="s">
        <v>672</v>
      </c>
      <c r="G308" s="101">
        <v>40</v>
      </c>
      <c r="H308" s="103">
        <v>2500</v>
      </c>
      <c r="I308" s="101" t="s">
        <v>193</v>
      </c>
      <c r="J308" s="101">
        <v>1</v>
      </c>
      <c r="K308" s="101"/>
      <c r="L308" s="101" t="s">
        <v>225</v>
      </c>
      <c r="M308" s="101"/>
      <c r="N308" s="101">
        <v>3010</v>
      </c>
      <c r="O308" s="101"/>
      <c r="P308" s="101" t="s">
        <v>523</v>
      </c>
      <c r="Q308" s="101" t="s">
        <v>819</v>
      </c>
      <c r="R308" s="101"/>
      <c r="S308" s="101"/>
      <c r="T308" s="101"/>
      <c r="U308" s="101"/>
      <c r="V308" s="101" t="s">
        <v>40</v>
      </c>
      <c r="W308" s="101">
        <v>4501502</v>
      </c>
      <c r="X308" t="str">
        <f t="shared" si="4"/>
        <v>LC</v>
      </c>
      <c r="Y308">
        <v>5250</v>
      </c>
    </row>
    <row r="309" spans="1:25" hidden="1">
      <c r="A309" s="101"/>
      <c r="B309" s="101">
        <v>20260418</v>
      </c>
      <c r="C309" s="101">
        <v>1900000666</v>
      </c>
      <c r="D309" s="101" t="s">
        <v>534</v>
      </c>
      <c r="E309" s="101" t="s">
        <v>535</v>
      </c>
      <c r="F309" s="101" t="s">
        <v>672</v>
      </c>
      <c r="G309" s="101">
        <v>40</v>
      </c>
      <c r="H309" s="103">
        <v>302707.36</v>
      </c>
      <c r="I309" s="101" t="s">
        <v>193</v>
      </c>
      <c r="J309" s="101">
        <v>1</v>
      </c>
      <c r="K309" s="101"/>
      <c r="L309" s="101" t="s">
        <v>378</v>
      </c>
      <c r="M309" s="36" t="s">
        <v>379</v>
      </c>
      <c r="N309" s="101">
        <v>3010</v>
      </c>
      <c r="O309" s="101"/>
      <c r="P309" s="101" t="s">
        <v>536</v>
      </c>
      <c r="Q309" s="101" t="s">
        <v>820</v>
      </c>
      <c r="R309" s="101"/>
      <c r="S309" s="101"/>
      <c r="T309" s="101"/>
      <c r="U309" s="101"/>
      <c r="V309" s="101" t="s">
        <v>40</v>
      </c>
      <c r="W309" s="101">
        <v>4501502</v>
      </c>
      <c r="X309" t="str">
        <f t="shared" si="4"/>
        <v>LC Chgs</v>
      </c>
      <c r="Y309">
        <v>5250</v>
      </c>
    </row>
    <row r="310" spans="1:25" hidden="1">
      <c r="A310" s="101"/>
      <c r="B310" s="101">
        <v>20260420</v>
      </c>
      <c r="C310" s="101">
        <v>1900000622</v>
      </c>
      <c r="D310" s="101" t="s">
        <v>534</v>
      </c>
      <c r="E310" s="101" t="s">
        <v>535</v>
      </c>
      <c r="F310" s="101" t="s">
        <v>675</v>
      </c>
      <c r="G310" s="101">
        <v>40</v>
      </c>
      <c r="H310" s="103">
        <v>2500</v>
      </c>
      <c r="I310" s="101" t="s">
        <v>193</v>
      </c>
      <c r="J310" s="101">
        <v>1</v>
      </c>
      <c r="K310" s="101"/>
      <c r="L310" s="101" t="s">
        <v>228</v>
      </c>
      <c r="M310" s="101"/>
      <c r="N310" s="101">
        <v>3010</v>
      </c>
      <c r="O310" s="101"/>
      <c r="P310" s="101" t="s">
        <v>523</v>
      </c>
      <c r="Q310" s="101" t="s">
        <v>821</v>
      </c>
      <c r="R310" s="101"/>
      <c r="S310" s="101"/>
      <c r="T310" s="101"/>
      <c r="U310" s="101"/>
      <c r="V310" s="101" t="s">
        <v>40</v>
      </c>
      <c r="W310" s="101">
        <v>4501502</v>
      </c>
      <c r="X310" t="str">
        <f t="shared" si="4"/>
        <v xml:space="preserve">LC </v>
      </c>
      <c r="Y310">
        <v>5250</v>
      </c>
    </row>
    <row r="311" spans="1:25" hidden="1">
      <c r="A311" s="101"/>
      <c r="B311" s="101">
        <v>20260421</v>
      </c>
      <c r="C311" s="101">
        <v>1700000048</v>
      </c>
      <c r="D311" s="101" t="s">
        <v>534</v>
      </c>
      <c r="E311" s="101" t="s">
        <v>822</v>
      </c>
      <c r="F311" s="101" t="s">
        <v>704</v>
      </c>
      <c r="G311" s="101">
        <v>50</v>
      </c>
      <c r="H311" s="103">
        <v>-23000</v>
      </c>
      <c r="I311" s="101" t="s">
        <v>193</v>
      </c>
      <c r="J311" s="101">
        <v>1</v>
      </c>
      <c r="K311" s="101"/>
      <c r="L311" s="101" t="s">
        <v>498</v>
      </c>
      <c r="M311" s="101"/>
      <c r="N311" s="101">
        <v>3010</v>
      </c>
      <c r="O311" s="101"/>
      <c r="P311" s="101" t="s">
        <v>398</v>
      </c>
      <c r="Q311" s="101" t="s">
        <v>823</v>
      </c>
      <c r="R311" s="101"/>
      <c r="S311" s="101"/>
      <c r="T311" s="101"/>
      <c r="U311" s="101"/>
      <c r="V311" s="101" t="s">
        <v>40</v>
      </c>
      <c r="W311" s="101">
        <v>4501502</v>
      </c>
      <c r="X311" t="str">
        <f t="shared" si="4"/>
        <v>Reversal</v>
      </c>
      <c r="Y311">
        <v>2600</v>
      </c>
    </row>
    <row r="312" spans="1:25" hidden="1">
      <c r="A312" s="101"/>
      <c r="B312" s="101">
        <v>20260421</v>
      </c>
      <c r="C312" s="101">
        <v>1700000049</v>
      </c>
      <c r="D312" s="101" t="s">
        <v>534</v>
      </c>
      <c r="E312" s="101" t="s">
        <v>822</v>
      </c>
      <c r="F312" s="101" t="s">
        <v>704</v>
      </c>
      <c r="G312" s="101">
        <v>50</v>
      </c>
      <c r="H312" s="103">
        <v>-12500</v>
      </c>
      <c r="I312" s="101" t="s">
        <v>193</v>
      </c>
      <c r="J312" s="101">
        <v>1</v>
      </c>
      <c r="K312" s="101"/>
      <c r="L312" s="101" t="s">
        <v>496</v>
      </c>
      <c r="M312" s="101"/>
      <c r="N312" s="101">
        <v>3010</v>
      </c>
      <c r="O312" s="101"/>
      <c r="P312" s="101" t="s">
        <v>398</v>
      </c>
      <c r="Q312" s="101" t="s">
        <v>823</v>
      </c>
      <c r="R312" s="101"/>
      <c r="S312" s="101"/>
      <c r="T312" s="101"/>
      <c r="U312" s="101"/>
      <c r="V312" s="101" t="s">
        <v>40</v>
      </c>
      <c r="W312" s="101">
        <v>4501502</v>
      </c>
      <c r="X312" t="str">
        <f t="shared" si="4"/>
        <v>Reversal</v>
      </c>
      <c r="Y312">
        <v>2600</v>
      </c>
    </row>
    <row r="313" spans="1:25" hidden="1">
      <c r="A313" s="101"/>
      <c r="B313" s="101">
        <v>20260421</v>
      </c>
      <c r="C313" s="101">
        <v>1700000050</v>
      </c>
      <c r="D313" s="101" t="s">
        <v>534</v>
      </c>
      <c r="E313" s="101" t="s">
        <v>822</v>
      </c>
      <c r="F313" s="101" t="s">
        <v>704</v>
      </c>
      <c r="G313" s="101">
        <v>50</v>
      </c>
      <c r="H313" s="103">
        <v>-20833.330000000002</v>
      </c>
      <c r="I313" s="101" t="s">
        <v>193</v>
      </c>
      <c r="J313" s="101">
        <v>1</v>
      </c>
      <c r="K313" s="101"/>
      <c r="L313" s="101" t="s">
        <v>497</v>
      </c>
      <c r="M313" s="101"/>
      <c r="N313" s="101">
        <v>3010</v>
      </c>
      <c r="O313" s="101"/>
      <c r="P313" s="101" t="s">
        <v>398</v>
      </c>
      <c r="Q313" s="101" t="s">
        <v>823</v>
      </c>
      <c r="R313" s="101"/>
      <c r="S313" s="101"/>
      <c r="T313" s="101"/>
      <c r="U313" s="101"/>
      <c r="V313" s="101" t="s">
        <v>40</v>
      </c>
      <c r="W313" s="101">
        <v>4501502</v>
      </c>
      <c r="X313" t="str">
        <f t="shared" si="4"/>
        <v>Reversal</v>
      </c>
      <c r="Y313">
        <v>1500</v>
      </c>
    </row>
    <row r="314" spans="1:25" hidden="1">
      <c r="A314" s="101"/>
      <c r="B314" s="101">
        <v>20260421</v>
      </c>
      <c r="C314" s="101">
        <v>1700000051</v>
      </c>
      <c r="D314" s="101" t="s">
        <v>534</v>
      </c>
      <c r="E314" s="101" t="s">
        <v>822</v>
      </c>
      <c r="F314" s="101" t="s">
        <v>704</v>
      </c>
      <c r="G314" s="101">
        <v>50</v>
      </c>
      <c r="H314" s="103">
        <v>-8333.33</v>
      </c>
      <c r="I314" s="101" t="s">
        <v>193</v>
      </c>
      <c r="J314" s="101">
        <v>1</v>
      </c>
      <c r="K314" s="101"/>
      <c r="L314" s="101" t="s">
        <v>495</v>
      </c>
      <c r="M314" s="101"/>
      <c r="N314" s="101">
        <v>3010</v>
      </c>
      <c r="O314" s="101"/>
      <c r="P314" s="101" t="s">
        <v>398</v>
      </c>
      <c r="Q314" s="101" t="s">
        <v>823</v>
      </c>
      <c r="R314" s="101"/>
      <c r="S314" s="101"/>
      <c r="T314" s="101"/>
      <c r="U314" s="101"/>
      <c r="V314" s="101" t="s">
        <v>40</v>
      </c>
      <c r="W314" s="101">
        <v>4501502</v>
      </c>
      <c r="X314" t="str">
        <f t="shared" si="4"/>
        <v>Reversal</v>
      </c>
      <c r="Y314">
        <v>0</v>
      </c>
    </row>
    <row r="315" spans="1:25" hidden="1">
      <c r="A315" s="101"/>
      <c r="B315" s="101">
        <v>20260421</v>
      </c>
      <c r="C315" s="101">
        <v>1900000546</v>
      </c>
      <c r="D315" s="101" t="s">
        <v>534</v>
      </c>
      <c r="E315" s="101" t="s">
        <v>535</v>
      </c>
      <c r="F315" s="101" t="s">
        <v>704</v>
      </c>
      <c r="G315" s="101">
        <v>40</v>
      </c>
      <c r="H315" s="103">
        <v>2500</v>
      </c>
      <c r="I315" s="101" t="s">
        <v>193</v>
      </c>
      <c r="J315" s="101">
        <v>1</v>
      </c>
      <c r="K315" s="101"/>
      <c r="L315" s="101" t="s">
        <v>227</v>
      </c>
      <c r="M315" s="101"/>
      <c r="N315" s="101">
        <v>3010</v>
      </c>
      <c r="O315" s="101"/>
      <c r="P315" s="101" t="s">
        <v>523</v>
      </c>
      <c r="Q315" s="101" t="s">
        <v>824</v>
      </c>
      <c r="R315" s="101"/>
      <c r="S315" s="101"/>
      <c r="T315" s="101"/>
      <c r="U315" s="101"/>
      <c r="V315" s="101" t="s">
        <v>40</v>
      </c>
      <c r="W315" s="101">
        <v>4501502</v>
      </c>
      <c r="X315" t="str">
        <f t="shared" si="4"/>
        <v>LC Chgs</v>
      </c>
      <c r="Y315">
        <v>0</v>
      </c>
    </row>
    <row r="316" spans="1:25" hidden="1">
      <c r="A316" s="101"/>
      <c r="B316" s="101">
        <v>20260421</v>
      </c>
      <c r="C316" s="101">
        <v>1900000549</v>
      </c>
      <c r="D316" s="101" t="s">
        <v>534</v>
      </c>
      <c r="E316" s="101" t="s">
        <v>535</v>
      </c>
      <c r="F316" s="101" t="s">
        <v>704</v>
      </c>
      <c r="G316" s="101">
        <v>40</v>
      </c>
      <c r="H316" s="103">
        <v>2500</v>
      </c>
      <c r="I316" s="101" t="s">
        <v>193</v>
      </c>
      <c r="J316" s="101">
        <v>1</v>
      </c>
      <c r="K316" s="101"/>
      <c r="L316" s="101" t="s">
        <v>226</v>
      </c>
      <c r="M316" s="101"/>
      <c r="N316" s="101">
        <v>3010</v>
      </c>
      <c r="O316" s="101"/>
      <c r="P316" s="101" t="s">
        <v>523</v>
      </c>
      <c r="Q316" s="101" t="s">
        <v>825</v>
      </c>
      <c r="R316" s="101"/>
      <c r="S316" s="101"/>
      <c r="T316" s="101"/>
      <c r="U316" s="101"/>
      <c r="V316" s="101" t="s">
        <v>40</v>
      </c>
      <c r="W316" s="101">
        <v>4501502</v>
      </c>
      <c r="X316" t="str">
        <f t="shared" si="4"/>
        <v>LC Chgs</v>
      </c>
      <c r="Y316">
        <v>591</v>
      </c>
    </row>
    <row r="317" spans="1:25" hidden="1">
      <c r="A317" s="101"/>
      <c r="B317" s="101">
        <v>20260422</v>
      </c>
      <c r="C317" s="101">
        <v>1900000673</v>
      </c>
      <c r="D317" s="101" t="s">
        <v>534</v>
      </c>
      <c r="E317" s="101" t="s">
        <v>535</v>
      </c>
      <c r="F317" s="101" t="s">
        <v>713</v>
      </c>
      <c r="G317" s="101">
        <v>40</v>
      </c>
      <c r="H317" s="101">
        <v>50</v>
      </c>
      <c r="I317" s="101" t="s">
        <v>193</v>
      </c>
      <c r="J317" s="101">
        <v>1</v>
      </c>
      <c r="K317" s="101"/>
      <c r="L317" s="101" t="s">
        <v>826</v>
      </c>
      <c r="M317" s="101"/>
      <c r="N317" s="101">
        <v>3010</v>
      </c>
      <c r="O317" s="101"/>
      <c r="P317" s="101" t="s">
        <v>651</v>
      </c>
      <c r="Q317" s="101" t="s">
        <v>827</v>
      </c>
      <c r="R317" s="101"/>
      <c r="S317" s="101"/>
      <c r="T317" s="101"/>
      <c r="U317" s="101"/>
      <c r="V317" s="101" t="s">
        <v>40</v>
      </c>
      <c r="W317" s="101">
        <v>4501502</v>
      </c>
      <c r="X317" t="str">
        <f t="shared" si="4"/>
        <v>LC</v>
      </c>
      <c r="Y317">
        <v>0</v>
      </c>
    </row>
    <row r="318" spans="1:25" hidden="1">
      <c r="A318" s="101"/>
      <c r="B318" s="101">
        <v>20260423</v>
      </c>
      <c r="C318" s="101">
        <v>1900000541</v>
      </c>
      <c r="D318" s="101" t="s">
        <v>534</v>
      </c>
      <c r="E318" s="101" t="s">
        <v>535</v>
      </c>
      <c r="F318" s="101" t="s">
        <v>715</v>
      </c>
      <c r="G318" s="101">
        <v>40</v>
      </c>
      <c r="H318" s="103">
        <v>1500</v>
      </c>
      <c r="I318" s="101" t="s">
        <v>193</v>
      </c>
      <c r="J318" s="101">
        <v>1</v>
      </c>
      <c r="K318" s="101"/>
      <c r="L318" s="101" t="s">
        <v>206</v>
      </c>
      <c r="M318" s="101"/>
      <c r="N318" s="101">
        <v>3010</v>
      </c>
      <c r="O318" s="101"/>
      <c r="P318" s="101" t="s">
        <v>536</v>
      </c>
      <c r="Q318" s="101" t="s">
        <v>794</v>
      </c>
      <c r="R318" s="101"/>
      <c r="S318" s="101"/>
      <c r="T318" s="101"/>
      <c r="U318" s="101"/>
      <c r="V318" s="101" t="s">
        <v>40</v>
      </c>
      <c r="W318" s="101">
        <v>4501502</v>
      </c>
      <c r="X318" t="str">
        <f t="shared" si="4"/>
        <v>LC Chgs</v>
      </c>
      <c r="Y318">
        <v>0</v>
      </c>
    </row>
    <row r="319" spans="1:25" hidden="1">
      <c r="A319" s="101"/>
      <c r="B319" s="101">
        <v>20260423</v>
      </c>
      <c r="C319" s="101">
        <v>1900000558</v>
      </c>
      <c r="D319" s="101" t="s">
        <v>534</v>
      </c>
      <c r="E319" s="101" t="s">
        <v>535</v>
      </c>
      <c r="F319" s="101" t="s">
        <v>715</v>
      </c>
      <c r="G319" s="101">
        <v>40</v>
      </c>
      <c r="H319" s="103">
        <v>2500</v>
      </c>
      <c r="I319" s="101" t="s">
        <v>193</v>
      </c>
      <c r="J319" s="101">
        <v>1</v>
      </c>
      <c r="K319" s="101"/>
      <c r="L319" s="101" t="s">
        <v>229</v>
      </c>
      <c r="M319" s="101"/>
      <c r="N319" s="101">
        <v>3010</v>
      </c>
      <c r="O319" s="101"/>
      <c r="P319" s="101" t="s">
        <v>523</v>
      </c>
      <c r="Q319" s="101" t="s">
        <v>828</v>
      </c>
      <c r="R319" s="101"/>
      <c r="S319" s="101"/>
      <c r="T319" s="101"/>
      <c r="U319" s="101"/>
      <c r="V319" s="101" t="s">
        <v>40</v>
      </c>
      <c r="W319" s="101">
        <v>4501502</v>
      </c>
      <c r="X319" t="str">
        <f t="shared" si="4"/>
        <v xml:space="preserve">LC </v>
      </c>
      <c r="Y319">
        <v>64666.66</v>
      </c>
    </row>
    <row r="320" spans="1:25" hidden="1">
      <c r="A320" s="101"/>
      <c r="B320" s="101">
        <v>20260424</v>
      </c>
      <c r="C320" s="101">
        <v>1900000287</v>
      </c>
      <c r="D320" s="101" t="s">
        <v>534</v>
      </c>
      <c r="E320" s="101" t="s">
        <v>535</v>
      </c>
      <c r="F320" s="101" t="s">
        <v>733</v>
      </c>
      <c r="G320" s="101">
        <v>40</v>
      </c>
      <c r="H320" s="103">
        <v>2500</v>
      </c>
      <c r="I320" s="101" t="s">
        <v>193</v>
      </c>
      <c r="J320" s="101">
        <v>1</v>
      </c>
      <c r="K320" s="101"/>
      <c r="L320" s="101" t="s">
        <v>230</v>
      </c>
      <c r="M320" s="101"/>
      <c r="N320" s="101">
        <v>3010</v>
      </c>
      <c r="O320" s="101"/>
      <c r="P320" s="101" t="s">
        <v>523</v>
      </c>
      <c r="Q320" s="101" t="s">
        <v>829</v>
      </c>
      <c r="R320" s="101"/>
      <c r="S320" s="101"/>
      <c r="T320" s="101"/>
      <c r="U320" s="101"/>
      <c r="V320" s="101" t="s">
        <v>40</v>
      </c>
      <c r="W320" s="101">
        <v>4501502</v>
      </c>
      <c r="X320" t="str">
        <f t="shared" si="4"/>
        <v>LC</v>
      </c>
      <c r="Y320">
        <v>64666.66</v>
      </c>
    </row>
    <row r="321" spans="1:25" hidden="1">
      <c r="A321" s="101"/>
      <c r="B321" s="101">
        <v>20260424</v>
      </c>
      <c r="C321" s="101">
        <v>1900000667</v>
      </c>
      <c r="D321" s="101" t="s">
        <v>534</v>
      </c>
      <c r="E321" s="101" t="s">
        <v>535</v>
      </c>
      <c r="F321" s="101" t="s">
        <v>733</v>
      </c>
      <c r="G321" s="101">
        <v>40</v>
      </c>
      <c r="H321" s="103">
        <v>112384.83</v>
      </c>
      <c r="I321" s="101" t="s">
        <v>193</v>
      </c>
      <c r="J321" s="101">
        <v>1</v>
      </c>
      <c r="K321" s="101"/>
      <c r="L321" s="101" t="s">
        <v>378</v>
      </c>
      <c r="M321" s="214" t="s">
        <v>380</v>
      </c>
      <c r="N321" s="101">
        <v>3010</v>
      </c>
      <c r="O321" s="101"/>
      <c r="P321" s="101" t="s">
        <v>536</v>
      </c>
      <c r="Q321" s="101" t="s">
        <v>830</v>
      </c>
      <c r="R321" s="101"/>
      <c r="S321" s="101"/>
      <c r="T321" s="101"/>
      <c r="U321" s="101"/>
      <c r="V321" s="101" t="s">
        <v>40</v>
      </c>
      <c r="W321" s="101">
        <v>4501502</v>
      </c>
      <c r="X321" t="str">
        <f t="shared" si="4"/>
        <v>LC Chgs</v>
      </c>
      <c r="Y321">
        <v>64666.66</v>
      </c>
    </row>
    <row r="322" spans="1:25" hidden="1">
      <c r="A322" s="101"/>
      <c r="B322" s="101">
        <v>20260427</v>
      </c>
      <c r="C322" s="101">
        <v>1900000441</v>
      </c>
      <c r="D322" s="101" t="s">
        <v>534</v>
      </c>
      <c r="E322" s="101" t="s">
        <v>535</v>
      </c>
      <c r="F322" s="101" t="s">
        <v>749</v>
      </c>
      <c r="G322" s="101">
        <v>40</v>
      </c>
      <c r="H322" s="103">
        <v>1250</v>
      </c>
      <c r="I322" s="101" t="s">
        <v>193</v>
      </c>
      <c r="J322" s="101">
        <v>13</v>
      </c>
      <c r="K322" s="101"/>
      <c r="L322" s="101" t="s">
        <v>753</v>
      </c>
      <c r="M322" s="101" t="s">
        <v>479</v>
      </c>
      <c r="N322" s="101">
        <v>3010</v>
      </c>
      <c r="O322" s="101"/>
      <c r="P322" s="101" t="s">
        <v>523</v>
      </c>
      <c r="Q322" s="101" t="s">
        <v>831</v>
      </c>
      <c r="R322" s="101"/>
      <c r="S322" s="101"/>
      <c r="T322" s="101"/>
      <c r="U322" s="101"/>
      <c r="V322" s="101" t="s">
        <v>40</v>
      </c>
      <c r="W322" s="101">
        <v>4501502</v>
      </c>
      <c r="X322" t="str">
        <f t="shared" si="4"/>
        <v>LC Chgs</v>
      </c>
      <c r="Y322">
        <v>64666.66</v>
      </c>
    </row>
    <row r="323" spans="1:25" hidden="1">
      <c r="A323" s="101"/>
      <c r="B323" s="101">
        <v>20260427</v>
      </c>
      <c r="C323" s="101">
        <v>1900000442</v>
      </c>
      <c r="D323" s="101" t="s">
        <v>534</v>
      </c>
      <c r="E323" s="101" t="s">
        <v>535</v>
      </c>
      <c r="F323" s="101" t="s">
        <v>749</v>
      </c>
      <c r="G323" s="101">
        <v>40</v>
      </c>
      <c r="H323" s="103">
        <v>1250</v>
      </c>
      <c r="I323" s="101" t="s">
        <v>193</v>
      </c>
      <c r="J323" s="101">
        <v>13</v>
      </c>
      <c r="K323" s="101"/>
      <c r="L323" s="101" t="s">
        <v>753</v>
      </c>
      <c r="M323" s="101" t="s">
        <v>482</v>
      </c>
      <c r="N323" s="101">
        <v>3010</v>
      </c>
      <c r="O323" s="101"/>
      <c r="P323" s="101" t="s">
        <v>523</v>
      </c>
      <c r="Q323" s="101" t="s">
        <v>832</v>
      </c>
      <c r="R323" s="101"/>
      <c r="S323" s="101"/>
      <c r="T323" s="101"/>
      <c r="U323" s="101"/>
      <c r="V323" s="101" t="s">
        <v>40</v>
      </c>
      <c r="W323" s="101">
        <v>4501502</v>
      </c>
      <c r="X323" t="str">
        <f t="shared" ref="X323:X386" si="5">VLOOKUP(L323,L:P,5,FALSE)</f>
        <v>LC Chgs</v>
      </c>
      <c r="Y323">
        <v>805000</v>
      </c>
    </row>
    <row r="324" spans="1:25" hidden="1">
      <c r="A324" s="101"/>
      <c r="B324" s="101">
        <v>20260427</v>
      </c>
      <c r="C324" s="101">
        <v>1900000443</v>
      </c>
      <c r="D324" s="101" t="s">
        <v>534</v>
      </c>
      <c r="E324" s="101" t="s">
        <v>535</v>
      </c>
      <c r="F324" s="101" t="s">
        <v>749</v>
      </c>
      <c r="G324" s="101">
        <v>40</v>
      </c>
      <c r="H324" s="103">
        <v>1250</v>
      </c>
      <c r="I324" s="101" t="s">
        <v>193</v>
      </c>
      <c r="J324" s="101">
        <v>13</v>
      </c>
      <c r="K324" s="101"/>
      <c r="L324" s="101" t="s">
        <v>753</v>
      </c>
      <c r="M324" s="101" t="s">
        <v>484</v>
      </c>
      <c r="N324" s="101">
        <v>3010</v>
      </c>
      <c r="O324" s="101"/>
      <c r="P324" s="101" t="s">
        <v>523</v>
      </c>
      <c r="Q324" s="101" t="s">
        <v>833</v>
      </c>
      <c r="R324" s="101"/>
      <c r="S324" s="101"/>
      <c r="T324" s="101"/>
      <c r="U324" s="101"/>
      <c r="V324" s="101" t="s">
        <v>40</v>
      </c>
      <c r="W324" s="101">
        <v>4501502</v>
      </c>
      <c r="X324" t="str">
        <f t="shared" si="5"/>
        <v>LC Chgs</v>
      </c>
      <c r="Y324">
        <v>805000</v>
      </c>
    </row>
    <row r="325" spans="1:25" hidden="1">
      <c r="A325" s="101"/>
      <c r="B325" s="101">
        <v>20260428</v>
      </c>
      <c r="C325" s="101">
        <v>1900000290</v>
      </c>
      <c r="D325" s="101" t="s">
        <v>534</v>
      </c>
      <c r="E325" s="101" t="s">
        <v>535</v>
      </c>
      <c r="F325" s="101" t="s">
        <v>755</v>
      </c>
      <c r="G325" s="101">
        <v>40</v>
      </c>
      <c r="H325" s="103">
        <v>2500</v>
      </c>
      <c r="I325" s="101" t="s">
        <v>193</v>
      </c>
      <c r="J325" s="101">
        <v>1</v>
      </c>
      <c r="K325" s="101"/>
      <c r="L325" s="101" t="s">
        <v>231</v>
      </c>
      <c r="M325" s="101"/>
      <c r="N325" s="101">
        <v>3010</v>
      </c>
      <c r="O325" s="101"/>
      <c r="P325" s="101" t="s">
        <v>523</v>
      </c>
      <c r="Q325" s="101" t="s">
        <v>834</v>
      </c>
      <c r="R325" s="101"/>
      <c r="S325" s="101"/>
      <c r="T325" s="101"/>
      <c r="U325" s="101"/>
      <c r="V325" s="101" t="s">
        <v>40</v>
      </c>
      <c r="W325" s="101">
        <v>4501502</v>
      </c>
      <c r="X325" t="str">
        <f t="shared" si="5"/>
        <v>LC</v>
      </c>
      <c r="Y325">
        <v>805000</v>
      </c>
    </row>
    <row r="326" spans="1:25" hidden="1">
      <c r="A326" s="101"/>
      <c r="B326" s="101">
        <v>20260428</v>
      </c>
      <c r="C326" s="101">
        <v>1900000291</v>
      </c>
      <c r="D326" s="101" t="s">
        <v>534</v>
      </c>
      <c r="E326" s="101" t="s">
        <v>535</v>
      </c>
      <c r="F326" s="101" t="s">
        <v>755</v>
      </c>
      <c r="G326" s="101">
        <v>40</v>
      </c>
      <c r="H326" s="103">
        <v>2500</v>
      </c>
      <c r="I326" s="101" t="s">
        <v>193</v>
      </c>
      <c r="J326" s="101">
        <v>1</v>
      </c>
      <c r="K326" s="101"/>
      <c r="L326" s="101" t="s">
        <v>232</v>
      </c>
      <c r="M326" s="101"/>
      <c r="N326" s="101">
        <v>3010</v>
      </c>
      <c r="O326" s="101"/>
      <c r="P326" s="101" t="s">
        <v>523</v>
      </c>
      <c r="Q326" s="101" t="s">
        <v>835</v>
      </c>
      <c r="R326" s="101"/>
      <c r="S326" s="101"/>
      <c r="T326" s="101"/>
      <c r="U326" s="101"/>
      <c r="V326" s="101" t="s">
        <v>40</v>
      </c>
      <c r="W326" s="101">
        <v>4501502</v>
      </c>
      <c r="X326" t="str">
        <f t="shared" si="5"/>
        <v>LC</v>
      </c>
      <c r="Y326">
        <v>805000</v>
      </c>
    </row>
    <row r="327" spans="1:25" hidden="1">
      <c r="A327" s="101"/>
      <c r="B327" s="101">
        <v>20260429</v>
      </c>
      <c r="C327" s="101">
        <v>1900000400</v>
      </c>
      <c r="D327" s="101" t="s">
        <v>534</v>
      </c>
      <c r="E327" s="101" t="s">
        <v>535</v>
      </c>
      <c r="F327" s="101" t="s">
        <v>763</v>
      </c>
      <c r="G327" s="101">
        <v>40</v>
      </c>
      <c r="H327" s="103">
        <v>1500</v>
      </c>
      <c r="I327" s="101" t="s">
        <v>193</v>
      </c>
      <c r="J327" s="101">
        <v>1</v>
      </c>
      <c r="K327" s="101"/>
      <c r="L327" s="101" t="s">
        <v>207</v>
      </c>
      <c r="M327" s="101"/>
      <c r="N327" s="101">
        <v>3010</v>
      </c>
      <c r="O327" s="101"/>
      <c r="P327" s="101" t="s">
        <v>536</v>
      </c>
      <c r="Q327" s="101" t="s">
        <v>794</v>
      </c>
      <c r="R327" s="101"/>
      <c r="S327" s="101"/>
      <c r="T327" s="101"/>
      <c r="U327" s="101"/>
      <c r="V327" s="101" t="s">
        <v>40</v>
      </c>
      <c r="W327" s="101">
        <v>4501502</v>
      </c>
      <c r="X327" t="str">
        <f t="shared" si="5"/>
        <v>LC Chgs</v>
      </c>
      <c r="Y327">
        <v>805000</v>
      </c>
    </row>
    <row r="328" spans="1:25" hidden="1">
      <c r="A328" s="101"/>
      <c r="B328" s="101" t="s">
        <v>836</v>
      </c>
      <c r="C328" s="101">
        <v>100000200</v>
      </c>
      <c r="D328" s="101" t="s">
        <v>521</v>
      </c>
      <c r="E328" s="101" t="s">
        <v>522</v>
      </c>
      <c r="F328" s="101" t="s">
        <v>837</v>
      </c>
      <c r="G328" s="101">
        <v>40</v>
      </c>
      <c r="H328" s="103">
        <v>3540</v>
      </c>
      <c r="I328" s="101" t="s">
        <v>193</v>
      </c>
      <c r="J328" s="101"/>
      <c r="K328" s="101"/>
      <c r="L328" s="101" t="s">
        <v>838</v>
      </c>
      <c r="M328" s="101"/>
      <c r="N328" s="101">
        <v>1021</v>
      </c>
      <c r="O328" s="101"/>
      <c r="P328" s="101" t="s">
        <v>539</v>
      </c>
      <c r="Q328" s="101" t="s">
        <v>839</v>
      </c>
      <c r="R328" s="101"/>
      <c r="S328" s="101"/>
      <c r="T328" s="101"/>
      <c r="U328" s="101"/>
      <c r="V328" s="101" t="s">
        <v>40</v>
      </c>
      <c r="W328" s="101">
        <v>4501502</v>
      </c>
      <c r="X328" t="str">
        <f t="shared" si="5"/>
        <v>Others</v>
      </c>
      <c r="Y328">
        <v>805000</v>
      </c>
    </row>
    <row r="329" spans="1:25" hidden="1">
      <c r="A329" s="101"/>
      <c r="B329" s="101" t="s">
        <v>836</v>
      </c>
      <c r="C329" s="101">
        <v>100000202</v>
      </c>
      <c r="D329" s="101" t="s">
        <v>521</v>
      </c>
      <c r="E329" s="101" t="s">
        <v>718</v>
      </c>
      <c r="F329" s="101" t="s">
        <v>837</v>
      </c>
      <c r="G329" s="101">
        <v>50</v>
      </c>
      <c r="H329" s="103">
        <v>-3540</v>
      </c>
      <c r="I329" s="101" t="s">
        <v>193</v>
      </c>
      <c r="J329" s="101"/>
      <c r="K329" s="101"/>
      <c r="L329" s="101" t="s">
        <v>838</v>
      </c>
      <c r="M329" s="101"/>
      <c r="N329" s="101">
        <v>1021</v>
      </c>
      <c r="O329" s="101"/>
      <c r="P329" s="101" t="s">
        <v>539</v>
      </c>
      <c r="Q329" s="101" t="s">
        <v>839</v>
      </c>
      <c r="R329" s="101"/>
      <c r="S329" s="101"/>
      <c r="T329" s="101"/>
      <c r="U329" s="101"/>
      <c r="V329" s="101" t="s">
        <v>40</v>
      </c>
      <c r="W329" s="101">
        <v>4501502</v>
      </c>
      <c r="X329" t="str">
        <f t="shared" si="5"/>
        <v>Others</v>
      </c>
      <c r="Y329">
        <v>-790833</v>
      </c>
    </row>
    <row r="330" spans="1:25" hidden="1">
      <c r="A330" s="101"/>
      <c r="B330" s="101" t="s">
        <v>840</v>
      </c>
      <c r="C330" s="101">
        <v>100000697</v>
      </c>
      <c r="D330" s="101" t="s">
        <v>569</v>
      </c>
      <c r="E330" s="101" t="s">
        <v>522</v>
      </c>
      <c r="F330" s="101" t="s">
        <v>530</v>
      </c>
      <c r="G330" s="101">
        <v>40</v>
      </c>
      <c r="H330" s="101">
        <v>591</v>
      </c>
      <c r="I330" s="101" t="s">
        <v>193</v>
      </c>
      <c r="J330" s="101" t="s">
        <v>789</v>
      </c>
      <c r="K330" s="101"/>
      <c r="L330" s="101" t="s">
        <v>841</v>
      </c>
      <c r="M330" s="101"/>
      <c r="N330" s="101">
        <v>1021</v>
      </c>
      <c r="O330" s="101"/>
      <c r="P330" s="101" t="s">
        <v>842</v>
      </c>
      <c r="Q330" s="101" t="s">
        <v>843</v>
      </c>
      <c r="R330" s="101"/>
      <c r="S330" s="101"/>
      <c r="T330" s="101"/>
      <c r="U330" s="101"/>
      <c r="V330" s="101" t="s">
        <v>40</v>
      </c>
      <c r="W330" s="101">
        <v>4501502</v>
      </c>
      <c r="X330" t="str">
        <f t="shared" si="5"/>
        <v>WCDL</v>
      </c>
      <c r="Y330">
        <v>-790833</v>
      </c>
    </row>
    <row r="331" spans="1:25" hidden="1">
      <c r="A331" s="101"/>
      <c r="B331" s="101" t="s">
        <v>844</v>
      </c>
      <c r="C331" s="101">
        <v>2517000008</v>
      </c>
      <c r="D331" s="101" t="s">
        <v>677</v>
      </c>
      <c r="E331" s="101" t="s">
        <v>845</v>
      </c>
      <c r="F331" s="101" t="s">
        <v>675</v>
      </c>
      <c r="G331" s="101">
        <v>40</v>
      </c>
      <c r="H331" s="103">
        <v>1770</v>
      </c>
      <c r="I331" s="101" t="s">
        <v>193</v>
      </c>
      <c r="J331" s="101"/>
      <c r="K331" s="101"/>
      <c r="L331" s="101"/>
      <c r="M331" s="101"/>
      <c r="N331" s="101">
        <v>5010</v>
      </c>
      <c r="O331" s="101"/>
      <c r="P331" s="101" t="s">
        <v>651</v>
      </c>
      <c r="Q331" s="101" t="s">
        <v>846</v>
      </c>
      <c r="R331" s="101"/>
      <c r="S331" s="101"/>
      <c r="T331" s="101"/>
      <c r="U331" s="101"/>
      <c r="V331" s="101" t="s">
        <v>40</v>
      </c>
      <c r="W331" s="101">
        <v>4501502</v>
      </c>
      <c r="X331" t="e">
        <f t="shared" si="5"/>
        <v>#N/A</v>
      </c>
      <c r="Y331">
        <v>5833</v>
      </c>
    </row>
    <row r="332" spans="1:25" hidden="1">
      <c r="A332" s="101"/>
      <c r="B332" s="101" t="s">
        <v>844</v>
      </c>
      <c r="C332" s="101">
        <v>2517000026</v>
      </c>
      <c r="D332" s="101" t="s">
        <v>677</v>
      </c>
      <c r="E332" s="101" t="s">
        <v>845</v>
      </c>
      <c r="F332" s="102">
        <v>46178</v>
      </c>
      <c r="G332" s="101">
        <v>40</v>
      </c>
      <c r="H332" s="103">
        <v>1770</v>
      </c>
      <c r="I332" s="101" t="s">
        <v>193</v>
      </c>
      <c r="J332" s="101"/>
      <c r="K332" s="101"/>
      <c r="L332" s="101"/>
      <c r="M332" s="101"/>
      <c r="N332" s="101">
        <v>5010</v>
      </c>
      <c r="O332" s="101"/>
      <c r="P332" s="101" t="s">
        <v>651</v>
      </c>
      <c r="Q332" s="101" t="s">
        <v>847</v>
      </c>
      <c r="R332" s="101"/>
      <c r="S332" s="101"/>
      <c r="T332" s="101"/>
      <c r="U332" s="101"/>
      <c r="V332" s="101" t="s">
        <v>784</v>
      </c>
      <c r="W332" s="101">
        <v>4501502</v>
      </c>
      <c r="X332" t="e">
        <f t="shared" si="5"/>
        <v>#N/A</v>
      </c>
      <c r="Y332">
        <v>45833</v>
      </c>
    </row>
    <row r="333" spans="1:25" hidden="1">
      <c r="A333" s="101"/>
      <c r="B333" s="101" t="s">
        <v>848</v>
      </c>
      <c r="C333" s="101">
        <v>100000683</v>
      </c>
      <c r="D333" s="101" t="s">
        <v>534</v>
      </c>
      <c r="E333" s="101" t="s">
        <v>718</v>
      </c>
      <c r="F333" s="101" t="s">
        <v>837</v>
      </c>
      <c r="G333" s="101">
        <v>40</v>
      </c>
      <c r="H333" s="103">
        <v>12500</v>
      </c>
      <c r="I333" s="101" t="s">
        <v>193</v>
      </c>
      <c r="J333" s="101"/>
      <c r="K333" s="101"/>
      <c r="L333" s="101" t="s">
        <v>849</v>
      </c>
      <c r="M333" s="101"/>
      <c r="N333" s="101">
        <v>3010</v>
      </c>
      <c r="O333" s="101"/>
      <c r="P333" s="101" t="s">
        <v>651</v>
      </c>
      <c r="Q333" s="101" t="s">
        <v>850</v>
      </c>
      <c r="R333" s="101"/>
      <c r="S333" s="101"/>
      <c r="T333" s="101"/>
      <c r="U333" s="101"/>
      <c r="V333" s="101" t="s">
        <v>40</v>
      </c>
      <c r="W333" s="101">
        <v>4501502</v>
      </c>
      <c r="X333" t="str">
        <f t="shared" si="5"/>
        <v>LC</v>
      </c>
      <c r="Y333">
        <v>175000</v>
      </c>
    </row>
    <row r="334" spans="1:25" hidden="1">
      <c r="A334" s="101"/>
      <c r="B334" s="101" t="s">
        <v>848</v>
      </c>
      <c r="C334" s="101">
        <v>100000684</v>
      </c>
      <c r="D334" s="101" t="s">
        <v>534</v>
      </c>
      <c r="E334" s="101" t="s">
        <v>718</v>
      </c>
      <c r="F334" s="101" t="s">
        <v>837</v>
      </c>
      <c r="G334" s="101">
        <v>40</v>
      </c>
      <c r="H334" s="103">
        <v>20833.330000000002</v>
      </c>
      <c r="I334" s="101" t="s">
        <v>193</v>
      </c>
      <c r="J334" s="101"/>
      <c r="K334" s="101"/>
      <c r="L334" s="101" t="s">
        <v>849</v>
      </c>
      <c r="M334" s="101"/>
      <c r="N334" s="101">
        <v>3010</v>
      </c>
      <c r="O334" s="101"/>
      <c r="P334" s="101" t="s">
        <v>651</v>
      </c>
      <c r="Q334" s="101" t="s">
        <v>850</v>
      </c>
      <c r="R334" s="101"/>
      <c r="S334" s="101"/>
      <c r="T334" s="101"/>
      <c r="U334" s="101"/>
      <c r="V334" s="101" t="s">
        <v>40</v>
      </c>
      <c r="W334" s="101">
        <v>4501502</v>
      </c>
      <c r="X334" t="str">
        <f t="shared" si="5"/>
        <v>LC</v>
      </c>
      <c r="Y334">
        <v>25000</v>
      </c>
    </row>
    <row r="335" spans="1:25" hidden="1">
      <c r="A335" s="101"/>
      <c r="B335" s="101" t="s">
        <v>848</v>
      </c>
      <c r="C335" s="101">
        <v>100000685</v>
      </c>
      <c r="D335" s="101" t="s">
        <v>534</v>
      </c>
      <c r="E335" s="101" t="s">
        <v>718</v>
      </c>
      <c r="F335" s="101" t="s">
        <v>837</v>
      </c>
      <c r="G335" s="101">
        <v>40</v>
      </c>
      <c r="H335" s="103">
        <v>8333.33</v>
      </c>
      <c r="I335" s="101" t="s">
        <v>193</v>
      </c>
      <c r="J335" s="101"/>
      <c r="K335" s="101"/>
      <c r="L335" s="101" t="s">
        <v>849</v>
      </c>
      <c r="M335" s="101"/>
      <c r="N335" s="101">
        <v>3010</v>
      </c>
      <c r="O335" s="101"/>
      <c r="P335" s="101" t="s">
        <v>651</v>
      </c>
      <c r="Q335" s="101" t="s">
        <v>850</v>
      </c>
      <c r="R335" s="101"/>
      <c r="S335" s="101"/>
      <c r="T335" s="101"/>
      <c r="U335" s="101"/>
      <c r="V335" s="101" t="s">
        <v>40</v>
      </c>
      <c r="W335" s="101">
        <v>4501502</v>
      </c>
      <c r="X335" t="str">
        <f t="shared" si="5"/>
        <v>LC</v>
      </c>
      <c r="Y335">
        <v>44166</v>
      </c>
    </row>
    <row r="336" spans="1:25" hidden="1">
      <c r="A336" s="101"/>
      <c r="B336" s="101" t="s">
        <v>851</v>
      </c>
      <c r="C336" s="101">
        <v>100000682</v>
      </c>
      <c r="D336" s="101" t="s">
        <v>534</v>
      </c>
      <c r="E336" s="101" t="s">
        <v>718</v>
      </c>
      <c r="F336" s="101" t="s">
        <v>837</v>
      </c>
      <c r="G336" s="101">
        <v>40</v>
      </c>
      <c r="H336" s="103">
        <v>23000</v>
      </c>
      <c r="I336" s="101" t="s">
        <v>193</v>
      </c>
      <c r="J336" s="101"/>
      <c r="K336" s="101"/>
      <c r="L336" s="101" t="s">
        <v>849</v>
      </c>
      <c r="M336" s="101"/>
      <c r="N336" s="101">
        <v>3010</v>
      </c>
      <c r="O336" s="101"/>
      <c r="P336" s="101" t="s">
        <v>651</v>
      </c>
      <c r="Q336" s="101" t="s">
        <v>852</v>
      </c>
      <c r="R336" s="101"/>
      <c r="S336" s="101"/>
      <c r="T336" s="101"/>
      <c r="U336" s="101"/>
      <c r="V336" s="101" t="s">
        <v>40</v>
      </c>
      <c r="W336" s="101">
        <v>4501502</v>
      </c>
      <c r="X336" t="str">
        <f t="shared" si="5"/>
        <v>LC</v>
      </c>
      <c r="Y336">
        <v>20833</v>
      </c>
    </row>
    <row r="337" spans="1:25" hidden="1">
      <c r="A337" s="101"/>
      <c r="B337" s="101" t="s">
        <v>853</v>
      </c>
      <c r="C337" s="101">
        <v>1700000071</v>
      </c>
      <c r="D337" s="101" t="s">
        <v>534</v>
      </c>
      <c r="E337" s="101" t="s">
        <v>561</v>
      </c>
      <c r="F337" s="102">
        <v>46177</v>
      </c>
      <c r="G337" s="101">
        <v>50</v>
      </c>
      <c r="H337" s="103">
        <v>-250000</v>
      </c>
      <c r="I337" s="101" t="s">
        <v>193</v>
      </c>
      <c r="J337" s="101">
        <v>13</v>
      </c>
      <c r="K337" s="101"/>
      <c r="L337" s="101" t="s">
        <v>566</v>
      </c>
      <c r="M337" s="101"/>
      <c r="N337" s="101">
        <v>3010</v>
      </c>
      <c r="O337" s="101"/>
      <c r="P337" s="101" t="s">
        <v>539</v>
      </c>
      <c r="Q337" s="101" t="s">
        <v>854</v>
      </c>
      <c r="R337" s="101"/>
      <c r="S337" s="101"/>
      <c r="T337" s="101"/>
      <c r="U337" s="101"/>
      <c r="V337" s="101" t="s">
        <v>40</v>
      </c>
      <c r="W337" s="101">
        <v>4501504</v>
      </c>
      <c r="X337" t="str">
        <f t="shared" si="5"/>
        <v>Others</v>
      </c>
      <c r="Y337">
        <v>-790833</v>
      </c>
    </row>
    <row r="338" spans="1:25" hidden="1">
      <c r="A338" s="101"/>
      <c r="B338" s="101" t="s">
        <v>853</v>
      </c>
      <c r="C338" s="101">
        <v>1900000562</v>
      </c>
      <c r="D338" s="101" t="s">
        <v>534</v>
      </c>
      <c r="E338" s="101" t="s">
        <v>535</v>
      </c>
      <c r="F338" s="102">
        <v>46177</v>
      </c>
      <c r="G338" s="101">
        <v>40</v>
      </c>
      <c r="H338" s="103">
        <v>250000</v>
      </c>
      <c r="I338" s="101" t="s">
        <v>193</v>
      </c>
      <c r="J338" s="101">
        <v>13</v>
      </c>
      <c r="K338" s="101"/>
      <c r="L338" s="101" t="s">
        <v>566</v>
      </c>
      <c r="M338" s="101"/>
      <c r="N338" s="101">
        <v>3010</v>
      </c>
      <c r="O338" s="101"/>
      <c r="P338" s="101" t="s">
        <v>539</v>
      </c>
      <c r="Q338" s="101" t="s">
        <v>854</v>
      </c>
      <c r="R338" s="101"/>
      <c r="S338" s="101"/>
      <c r="T338" s="101"/>
      <c r="U338" s="101"/>
      <c r="V338" s="101" t="s">
        <v>40</v>
      </c>
      <c r="W338" s="101">
        <v>4501504</v>
      </c>
      <c r="X338" t="str">
        <f t="shared" si="5"/>
        <v>Others</v>
      </c>
      <c r="Y338">
        <v>69270</v>
      </c>
    </row>
    <row r="339" spans="1:25" hidden="1">
      <c r="A339" s="101"/>
      <c r="B339" s="101" t="s">
        <v>855</v>
      </c>
      <c r="C339" s="101">
        <v>1700000071</v>
      </c>
      <c r="D339" s="101" t="s">
        <v>534</v>
      </c>
      <c r="E339" s="101" t="s">
        <v>561</v>
      </c>
      <c r="F339" s="102">
        <v>46177</v>
      </c>
      <c r="G339" s="101">
        <v>50</v>
      </c>
      <c r="H339" s="103">
        <v>-550000</v>
      </c>
      <c r="I339" s="101" t="s">
        <v>193</v>
      </c>
      <c r="J339" s="101">
        <v>13</v>
      </c>
      <c r="K339" s="101"/>
      <c r="L339" s="101" t="s">
        <v>566</v>
      </c>
      <c r="M339" s="101"/>
      <c r="N339" s="101">
        <v>3010</v>
      </c>
      <c r="O339" s="101"/>
      <c r="P339" s="101" t="s">
        <v>856</v>
      </c>
      <c r="Q339" s="101" t="s">
        <v>857</v>
      </c>
      <c r="R339" s="101"/>
      <c r="S339" s="101"/>
      <c r="T339" s="101"/>
      <c r="U339" s="101"/>
      <c r="V339" s="101" t="s">
        <v>40</v>
      </c>
      <c r="W339" s="101">
        <v>4501504</v>
      </c>
      <c r="X339" t="str">
        <f t="shared" si="5"/>
        <v>Others</v>
      </c>
      <c r="Y339">
        <v>87763</v>
      </c>
    </row>
    <row r="340" spans="1:25" hidden="1">
      <c r="A340" s="101"/>
      <c r="B340" s="101" t="s">
        <v>855</v>
      </c>
      <c r="C340" s="101">
        <v>1900000562</v>
      </c>
      <c r="D340" s="101" t="s">
        <v>534</v>
      </c>
      <c r="E340" s="101" t="s">
        <v>535</v>
      </c>
      <c r="F340" s="102">
        <v>46177</v>
      </c>
      <c r="G340" s="101">
        <v>40</v>
      </c>
      <c r="H340" s="103">
        <v>550000</v>
      </c>
      <c r="I340" s="101" t="s">
        <v>193</v>
      </c>
      <c r="J340" s="101">
        <v>13</v>
      </c>
      <c r="K340" s="101"/>
      <c r="L340" s="101" t="s">
        <v>566</v>
      </c>
      <c r="M340" s="101"/>
      <c r="N340" s="101">
        <v>3010</v>
      </c>
      <c r="O340" s="101"/>
      <c r="P340" s="101" t="s">
        <v>856</v>
      </c>
      <c r="Q340" s="101" t="s">
        <v>857</v>
      </c>
      <c r="R340" s="101"/>
      <c r="S340" s="101"/>
      <c r="T340" s="101"/>
      <c r="U340" s="101"/>
      <c r="V340" s="101" t="s">
        <v>40</v>
      </c>
      <c r="W340" s="101">
        <v>4501504</v>
      </c>
      <c r="X340" t="str">
        <f t="shared" si="5"/>
        <v>Others</v>
      </c>
      <c r="Y340">
        <v>79111</v>
      </c>
    </row>
    <row r="341" spans="1:25" hidden="1">
      <c r="A341" s="101"/>
      <c r="B341" s="101">
        <v>20260406</v>
      </c>
      <c r="C341" s="101">
        <v>1900000744</v>
      </c>
      <c r="D341" s="101" t="s">
        <v>569</v>
      </c>
      <c r="E341" s="101" t="s">
        <v>535</v>
      </c>
      <c r="F341" s="102">
        <v>46177</v>
      </c>
      <c r="G341" s="101">
        <v>40</v>
      </c>
      <c r="H341" s="103">
        <v>250000</v>
      </c>
      <c r="I341" s="101" t="s">
        <v>193</v>
      </c>
      <c r="J341" s="101">
        <v>1</v>
      </c>
      <c r="K341" s="101"/>
      <c r="L341" s="101" t="s">
        <v>566</v>
      </c>
      <c r="M341" s="101"/>
      <c r="N341" s="101">
        <v>1021</v>
      </c>
      <c r="O341" s="101"/>
      <c r="P341" s="101" t="s">
        <v>856</v>
      </c>
      <c r="Q341" s="101" t="s">
        <v>858</v>
      </c>
      <c r="R341" s="101"/>
      <c r="S341" s="101"/>
      <c r="T341" s="101"/>
      <c r="U341" s="101"/>
      <c r="V341" s="101" t="s">
        <v>40</v>
      </c>
      <c r="W341" s="101">
        <v>4501504</v>
      </c>
      <c r="X341" t="str">
        <f t="shared" si="5"/>
        <v>Others</v>
      </c>
      <c r="Y341">
        <v>17857</v>
      </c>
    </row>
    <row r="342" spans="1:25" hidden="1">
      <c r="A342" s="101"/>
      <c r="B342" s="101">
        <v>20260406</v>
      </c>
      <c r="C342" s="101">
        <v>1900000744</v>
      </c>
      <c r="D342" s="101" t="s">
        <v>569</v>
      </c>
      <c r="E342" s="101" t="s">
        <v>535</v>
      </c>
      <c r="F342" s="102">
        <v>46177</v>
      </c>
      <c r="G342" s="101">
        <v>40</v>
      </c>
      <c r="H342" s="103">
        <v>550000</v>
      </c>
      <c r="I342" s="101" t="s">
        <v>193</v>
      </c>
      <c r="J342" s="101">
        <v>1</v>
      </c>
      <c r="K342" s="101"/>
      <c r="L342" s="101" t="s">
        <v>566</v>
      </c>
      <c r="M342" s="101"/>
      <c r="N342" s="101">
        <v>1021</v>
      </c>
      <c r="O342" s="101"/>
      <c r="P342" s="101" t="s">
        <v>856</v>
      </c>
      <c r="Q342" s="101" t="s">
        <v>859</v>
      </c>
      <c r="R342" s="101"/>
      <c r="S342" s="101"/>
      <c r="T342" s="101"/>
      <c r="U342" s="101"/>
      <c r="V342" s="101" t="s">
        <v>40</v>
      </c>
      <c r="W342" s="101">
        <v>4501504</v>
      </c>
      <c r="X342" t="str">
        <f t="shared" si="5"/>
        <v>Others</v>
      </c>
      <c r="Y342">
        <v>7000</v>
      </c>
    </row>
    <row r="343" spans="1:25" hidden="1">
      <c r="A343" s="101"/>
      <c r="B343" s="101" t="s">
        <v>791</v>
      </c>
      <c r="C343" s="101">
        <v>100000434</v>
      </c>
      <c r="D343" s="101" t="s">
        <v>534</v>
      </c>
      <c r="E343" s="101" t="s">
        <v>522</v>
      </c>
      <c r="F343" s="102">
        <v>46177</v>
      </c>
      <c r="G343" s="101">
        <v>50</v>
      </c>
      <c r="H343" s="103">
        <v>-250000</v>
      </c>
      <c r="I343" s="101" t="s">
        <v>193</v>
      </c>
      <c r="J343" s="101"/>
      <c r="K343" s="101"/>
      <c r="L343" s="101" t="s">
        <v>860</v>
      </c>
      <c r="M343" s="101"/>
      <c r="N343" s="101">
        <v>3010</v>
      </c>
      <c r="O343" s="101"/>
      <c r="P343" s="101" t="s">
        <v>539</v>
      </c>
      <c r="Q343" s="101" t="s">
        <v>861</v>
      </c>
      <c r="R343" s="101"/>
      <c r="S343" s="101"/>
      <c r="T343" s="101"/>
      <c r="U343" s="101"/>
      <c r="V343" s="101" t="s">
        <v>40</v>
      </c>
      <c r="W343" s="101">
        <v>4501504</v>
      </c>
      <c r="X343" t="str">
        <f t="shared" si="5"/>
        <v>Others</v>
      </c>
      <c r="Y343">
        <v>1000000</v>
      </c>
    </row>
    <row r="344" spans="1:25" hidden="1">
      <c r="A344" s="101"/>
      <c r="B344" s="101" t="s">
        <v>791</v>
      </c>
      <c r="C344" s="101">
        <v>100000434</v>
      </c>
      <c r="D344" s="101" t="s">
        <v>534</v>
      </c>
      <c r="E344" s="101" t="s">
        <v>522</v>
      </c>
      <c r="F344" s="102">
        <v>46177</v>
      </c>
      <c r="G344" s="101">
        <v>50</v>
      </c>
      <c r="H344" s="103">
        <v>-550000</v>
      </c>
      <c r="I344" s="101" t="s">
        <v>193</v>
      </c>
      <c r="J344" s="101"/>
      <c r="K344" s="101"/>
      <c r="L344" s="101" t="s">
        <v>860</v>
      </c>
      <c r="M344" s="101"/>
      <c r="N344" s="101">
        <v>3010</v>
      </c>
      <c r="O344" s="101"/>
      <c r="P344" s="101" t="s">
        <v>539</v>
      </c>
      <c r="Q344" s="101" t="s">
        <v>862</v>
      </c>
      <c r="R344" s="101"/>
      <c r="S344" s="101"/>
      <c r="T344" s="101"/>
      <c r="U344" s="101"/>
      <c r="V344" s="101" t="s">
        <v>40</v>
      </c>
      <c r="W344" s="101">
        <v>4501504</v>
      </c>
      <c r="X344" t="str">
        <f t="shared" si="5"/>
        <v>Others</v>
      </c>
      <c r="Y344">
        <v>69665</v>
      </c>
    </row>
    <row r="345" spans="1:25" hidden="1">
      <c r="A345" s="101"/>
      <c r="B345" s="101" t="s">
        <v>791</v>
      </c>
      <c r="C345" s="101">
        <v>100000479</v>
      </c>
      <c r="D345" s="101" t="s">
        <v>534</v>
      </c>
      <c r="E345" s="101" t="s">
        <v>522</v>
      </c>
      <c r="F345" s="101" t="s">
        <v>764</v>
      </c>
      <c r="G345" s="101">
        <v>40</v>
      </c>
      <c r="H345" s="103">
        <v>5833</v>
      </c>
      <c r="I345" s="101" t="s">
        <v>193</v>
      </c>
      <c r="J345" s="101"/>
      <c r="K345" s="101"/>
      <c r="L345" s="101" t="s">
        <v>863</v>
      </c>
      <c r="M345" s="101"/>
      <c r="N345" s="101">
        <v>3010</v>
      </c>
      <c r="O345" s="101"/>
      <c r="P345" s="101" t="s">
        <v>539</v>
      </c>
      <c r="Q345" s="101" t="s">
        <v>864</v>
      </c>
      <c r="R345" s="101"/>
      <c r="S345" s="101"/>
      <c r="T345" s="101"/>
      <c r="U345" s="101"/>
      <c r="V345" s="101" t="s">
        <v>40</v>
      </c>
      <c r="W345" s="101">
        <v>4501504</v>
      </c>
      <c r="X345" t="str">
        <f t="shared" si="5"/>
        <v>Others</v>
      </c>
      <c r="Y345">
        <v>69665</v>
      </c>
    </row>
    <row r="346" spans="1:25" hidden="1">
      <c r="A346" s="101"/>
      <c r="B346" s="101" t="s">
        <v>791</v>
      </c>
      <c r="C346" s="101">
        <v>100000480</v>
      </c>
      <c r="D346" s="101" t="s">
        <v>534</v>
      </c>
      <c r="E346" s="101" t="s">
        <v>522</v>
      </c>
      <c r="F346" s="101" t="s">
        <v>764</v>
      </c>
      <c r="G346" s="101">
        <v>40</v>
      </c>
      <c r="H346" s="103">
        <v>45833</v>
      </c>
      <c r="I346" s="101" t="s">
        <v>193</v>
      </c>
      <c r="J346" s="101"/>
      <c r="K346" s="101"/>
      <c r="L346" s="101" t="s">
        <v>865</v>
      </c>
      <c r="M346" s="101"/>
      <c r="N346" s="101">
        <v>3010</v>
      </c>
      <c r="O346" s="101"/>
      <c r="P346" s="101" t="s">
        <v>539</v>
      </c>
      <c r="Q346" s="101" t="s">
        <v>866</v>
      </c>
      <c r="R346" s="101"/>
      <c r="S346" s="101"/>
      <c r="T346" s="101"/>
      <c r="U346" s="101"/>
      <c r="V346" s="101" t="s">
        <v>40</v>
      </c>
      <c r="W346" s="101">
        <v>4501504</v>
      </c>
      <c r="X346" t="str">
        <f t="shared" si="5"/>
        <v>Others</v>
      </c>
      <c r="Y346">
        <v>-790833</v>
      </c>
    </row>
    <row r="347" spans="1:25" hidden="1">
      <c r="A347" s="101"/>
      <c r="B347" s="101" t="s">
        <v>791</v>
      </c>
      <c r="C347" s="101">
        <v>100000481</v>
      </c>
      <c r="D347" s="101" t="s">
        <v>534</v>
      </c>
      <c r="E347" s="101" t="s">
        <v>522</v>
      </c>
      <c r="F347" s="101" t="s">
        <v>764</v>
      </c>
      <c r="G347" s="101">
        <v>40</v>
      </c>
      <c r="H347" s="103">
        <v>175000</v>
      </c>
      <c r="I347" s="101" t="s">
        <v>193</v>
      </c>
      <c r="J347" s="101"/>
      <c r="K347" s="101"/>
      <c r="L347" s="101" t="s">
        <v>867</v>
      </c>
      <c r="M347" s="101"/>
      <c r="N347" s="101">
        <v>3010</v>
      </c>
      <c r="O347" s="101"/>
      <c r="P347" s="101" t="s">
        <v>539</v>
      </c>
      <c r="Q347" s="101" t="s">
        <v>868</v>
      </c>
      <c r="R347" s="101"/>
      <c r="S347" s="101"/>
      <c r="T347" s="101"/>
      <c r="U347" s="101"/>
      <c r="V347" s="101" t="s">
        <v>40</v>
      </c>
      <c r="W347" s="101">
        <v>4501504</v>
      </c>
      <c r="X347" t="str">
        <f t="shared" si="5"/>
        <v>Others</v>
      </c>
      <c r="Y347">
        <v>-790833</v>
      </c>
    </row>
    <row r="348" spans="1:25" hidden="1">
      <c r="A348" s="101"/>
      <c r="B348" s="101" t="s">
        <v>791</v>
      </c>
      <c r="C348" s="101">
        <v>100000482</v>
      </c>
      <c r="D348" s="101" t="s">
        <v>534</v>
      </c>
      <c r="E348" s="101" t="s">
        <v>522</v>
      </c>
      <c r="F348" s="101" t="s">
        <v>764</v>
      </c>
      <c r="G348" s="101">
        <v>40</v>
      </c>
      <c r="H348" s="103">
        <v>25000</v>
      </c>
      <c r="I348" s="101" t="s">
        <v>193</v>
      </c>
      <c r="J348" s="101"/>
      <c r="K348" s="101"/>
      <c r="L348" s="101" t="s">
        <v>869</v>
      </c>
      <c r="M348" s="101"/>
      <c r="N348" s="101">
        <v>3010</v>
      </c>
      <c r="O348" s="101"/>
      <c r="P348" s="101" t="s">
        <v>539</v>
      </c>
      <c r="Q348" s="101" t="s">
        <v>870</v>
      </c>
      <c r="R348" s="101"/>
      <c r="S348" s="101"/>
      <c r="T348" s="101"/>
      <c r="U348" s="101"/>
      <c r="V348" s="101" t="s">
        <v>40</v>
      </c>
      <c r="W348" s="101">
        <v>4501504</v>
      </c>
      <c r="X348" t="str">
        <f t="shared" si="5"/>
        <v>Others</v>
      </c>
      <c r="Y348">
        <v>-790833</v>
      </c>
    </row>
    <row r="349" spans="1:25" hidden="1">
      <c r="A349" s="101"/>
      <c r="B349" s="101" t="s">
        <v>791</v>
      </c>
      <c r="C349" s="101">
        <v>100000483</v>
      </c>
      <c r="D349" s="101" t="s">
        <v>534</v>
      </c>
      <c r="E349" s="101" t="s">
        <v>522</v>
      </c>
      <c r="F349" s="101" t="s">
        <v>764</v>
      </c>
      <c r="G349" s="101">
        <v>40</v>
      </c>
      <c r="H349" s="103">
        <v>44166</v>
      </c>
      <c r="I349" s="101" t="s">
        <v>193</v>
      </c>
      <c r="J349" s="101"/>
      <c r="K349" s="101"/>
      <c r="L349" s="101" t="s">
        <v>871</v>
      </c>
      <c r="M349" s="101"/>
      <c r="N349" s="101">
        <v>3010</v>
      </c>
      <c r="O349" s="101"/>
      <c r="P349" s="101" t="s">
        <v>539</v>
      </c>
      <c r="Q349" s="101" t="s">
        <v>872</v>
      </c>
      <c r="R349" s="101"/>
      <c r="S349" s="101"/>
      <c r="T349" s="101"/>
      <c r="U349" s="101"/>
      <c r="V349" s="101" t="s">
        <v>40</v>
      </c>
      <c r="W349" s="101">
        <v>4501504</v>
      </c>
      <c r="X349" t="str">
        <f t="shared" si="5"/>
        <v>Others</v>
      </c>
      <c r="Y349">
        <v>-790833</v>
      </c>
    </row>
    <row r="350" spans="1:25" hidden="1">
      <c r="A350" s="101"/>
      <c r="B350" s="101" t="s">
        <v>791</v>
      </c>
      <c r="C350" s="101">
        <v>100000484</v>
      </c>
      <c r="D350" s="101" t="s">
        <v>534</v>
      </c>
      <c r="E350" s="101" t="s">
        <v>522</v>
      </c>
      <c r="F350" s="101" t="s">
        <v>764</v>
      </c>
      <c r="G350" s="101">
        <v>40</v>
      </c>
      <c r="H350" s="103">
        <v>20833</v>
      </c>
      <c r="I350" s="101" t="s">
        <v>193</v>
      </c>
      <c r="J350" s="101"/>
      <c r="K350" s="101"/>
      <c r="L350" s="101" t="s">
        <v>873</v>
      </c>
      <c r="M350" s="101"/>
      <c r="N350" s="101">
        <v>3010</v>
      </c>
      <c r="O350" s="101"/>
      <c r="P350" s="101" t="s">
        <v>539</v>
      </c>
      <c r="Q350" s="101" t="s">
        <v>861</v>
      </c>
      <c r="R350" s="101"/>
      <c r="S350" s="101"/>
      <c r="T350" s="101"/>
      <c r="U350" s="101"/>
      <c r="V350" s="101" t="s">
        <v>40</v>
      </c>
      <c r="W350" s="101">
        <v>4501504</v>
      </c>
      <c r="X350" t="str">
        <f t="shared" si="5"/>
        <v>Others</v>
      </c>
      <c r="Y350">
        <v>20833</v>
      </c>
    </row>
    <row r="351" spans="1:25" hidden="1">
      <c r="A351" s="101"/>
      <c r="B351" s="101" t="s">
        <v>791</v>
      </c>
      <c r="C351" s="101">
        <v>100000485</v>
      </c>
      <c r="D351" s="101" t="s">
        <v>534</v>
      </c>
      <c r="E351" s="101" t="s">
        <v>522</v>
      </c>
      <c r="F351" s="101" t="s">
        <v>764</v>
      </c>
      <c r="G351" s="101">
        <v>40</v>
      </c>
      <c r="H351" s="103">
        <v>9167</v>
      </c>
      <c r="I351" s="101" t="s">
        <v>193</v>
      </c>
      <c r="J351" s="101"/>
      <c r="K351" s="101"/>
      <c r="L351" s="101" t="s">
        <v>860</v>
      </c>
      <c r="M351" s="101"/>
      <c r="N351" s="101">
        <v>3010</v>
      </c>
      <c r="O351" s="101"/>
      <c r="P351" s="101" t="s">
        <v>539</v>
      </c>
      <c r="Q351" s="101" t="s">
        <v>862</v>
      </c>
      <c r="R351" s="101"/>
      <c r="S351" s="101"/>
      <c r="T351" s="101"/>
      <c r="U351" s="101"/>
      <c r="V351" s="101" t="s">
        <v>40</v>
      </c>
      <c r="W351" s="101">
        <v>4501504</v>
      </c>
      <c r="X351" t="str">
        <f t="shared" si="5"/>
        <v>Others</v>
      </c>
      <c r="Y351">
        <v>-790833</v>
      </c>
    </row>
    <row r="352" spans="1:25" hidden="1">
      <c r="A352" s="101"/>
      <c r="B352" s="101" t="s">
        <v>791</v>
      </c>
      <c r="C352" s="101">
        <v>100000486</v>
      </c>
      <c r="D352" s="101" t="s">
        <v>534</v>
      </c>
      <c r="E352" s="101" t="s">
        <v>522</v>
      </c>
      <c r="F352" s="101" t="s">
        <v>764</v>
      </c>
      <c r="G352" s="101">
        <v>40</v>
      </c>
      <c r="H352" s="103">
        <v>69270</v>
      </c>
      <c r="I352" s="101" t="s">
        <v>193</v>
      </c>
      <c r="J352" s="101"/>
      <c r="K352" s="101"/>
      <c r="L352" s="101" t="s">
        <v>874</v>
      </c>
      <c r="M352" s="101"/>
      <c r="N352" s="101">
        <v>3010</v>
      </c>
      <c r="O352" s="101"/>
      <c r="P352" s="101" t="s">
        <v>539</v>
      </c>
      <c r="Q352" s="101" t="s">
        <v>875</v>
      </c>
      <c r="R352" s="101"/>
      <c r="S352" s="101"/>
      <c r="T352" s="101"/>
      <c r="U352" s="101"/>
      <c r="V352" s="101" t="s">
        <v>40</v>
      </c>
      <c r="W352" s="101">
        <v>4501504</v>
      </c>
      <c r="X352" t="str">
        <f t="shared" si="5"/>
        <v>Others</v>
      </c>
      <c r="Y352">
        <v>20833</v>
      </c>
    </row>
    <row r="353" spans="1:25" hidden="1">
      <c r="A353" s="101"/>
      <c r="B353" s="101" t="s">
        <v>791</v>
      </c>
      <c r="C353" s="101">
        <v>100000488</v>
      </c>
      <c r="D353" s="101" t="s">
        <v>534</v>
      </c>
      <c r="E353" s="101" t="s">
        <v>522</v>
      </c>
      <c r="F353" s="101" t="s">
        <v>764</v>
      </c>
      <c r="G353" s="101">
        <v>40</v>
      </c>
      <c r="H353" s="103">
        <v>87763</v>
      </c>
      <c r="I353" s="101" t="s">
        <v>193</v>
      </c>
      <c r="J353" s="101"/>
      <c r="K353" s="101"/>
      <c r="L353" s="101" t="s">
        <v>876</v>
      </c>
      <c r="M353" s="101"/>
      <c r="N353" s="101">
        <v>3010</v>
      </c>
      <c r="O353" s="101"/>
      <c r="P353" s="101" t="s">
        <v>539</v>
      </c>
      <c r="Q353" s="101" t="s">
        <v>877</v>
      </c>
      <c r="R353" s="101"/>
      <c r="S353" s="101"/>
      <c r="T353" s="101"/>
      <c r="U353" s="101"/>
      <c r="V353" s="101" t="s">
        <v>40</v>
      </c>
      <c r="W353" s="101">
        <v>4501504</v>
      </c>
      <c r="X353" t="str">
        <f t="shared" si="5"/>
        <v>Others</v>
      </c>
      <c r="Y353">
        <v>-790833</v>
      </c>
    </row>
    <row r="354" spans="1:25" hidden="1">
      <c r="A354" s="101"/>
      <c r="B354" s="101" t="s">
        <v>791</v>
      </c>
      <c r="C354" s="101">
        <v>100000489</v>
      </c>
      <c r="D354" s="101" t="s">
        <v>534</v>
      </c>
      <c r="E354" s="101" t="s">
        <v>522</v>
      </c>
      <c r="F354" s="101" t="s">
        <v>764</v>
      </c>
      <c r="G354" s="101">
        <v>40</v>
      </c>
      <c r="H354" s="103">
        <v>79111</v>
      </c>
      <c r="I354" s="101" t="s">
        <v>193</v>
      </c>
      <c r="J354" s="101"/>
      <c r="K354" s="101"/>
      <c r="L354" s="101" t="s">
        <v>878</v>
      </c>
      <c r="M354" s="101"/>
      <c r="N354" s="101">
        <v>3010</v>
      </c>
      <c r="O354" s="101"/>
      <c r="P354" s="101" t="s">
        <v>539</v>
      </c>
      <c r="Q354" s="101" t="s">
        <v>879</v>
      </c>
      <c r="R354" s="101"/>
      <c r="S354" s="101"/>
      <c r="T354" s="101"/>
      <c r="U354" s="101"/>
      <c r="V354" s="101" t="s">
        <v>40</v>
      </c>
      <c r="W354" s="101">
        <v>4501504</v>
      </c>
      <c r="X354" t="str">
        <f t="shared" si="5"/>
        <v>Others</v>
      </c>
      <c r="Y354">
        <v>1484045</v>
      </c>
    </row>
    <row r="355" spans="1:25" hidden="1">
      <c r="A355" s="101"/>
      <c r="B355" s="101" t="s">
        <v>791</v>
      </c>
      <c r="C355" s="101">
        <v>100000490</v>
      </c>
      <c r="D355" s="101" t="s">
        <v>534</v>
      </c>
      <c r="E355" s="101" t="s">
        <v>522</v>
      </c>
      <c r="F355" s="101" t="s">
        <v>764</v>
      </c>
      <c r="G355" s="101">
        <v>40</v>
      </c>
      <c r="H355" s="103">
        <v>17857</v>
      </c>
      <c r="I355" s="101" t="s">
        <v>193</v>
      </c>
      <c r="J355" s="101"/>
      <c r="K355" s="101"/>
      <c r="L355" s="101" t="s">
        <v>880</v>
      </c>
      <c r="M355" s="101"/>
      <c r="N355" s="101">
        <v>3010</v>
      </c>
      <c r="O355" s="101"/>
      <c r="P355" s="101" t="s">
        <v>539</v>
      </c>
      <c r="Q355" s="101" t="s">
        <v>881</v>
      </c>
      <c r="R355" s="101"/>
      <c r="S355" s="101"/>
      <c r="T355" s="101"/>
      <c r="U355" s="101"/>
      <c r="V355" s="101" t="s">
        <v>40</v>
      </c>
      <c r="W355" s="101">
        <v>4501504</v>
      </c>
      <c r="X355" t="str">
        <f t="shared" si="5"/>
        <v>Others</v>
      </c>
      <c r="Y355">
        <v>256387</v>
      </c>
    </row>
    <row r="356" spans="1:25" hidden="1">
      <c r="A356" s="101"/>
      <c r="B356" s="101" t="s">
        <v>791</v>
      </c>
      <c r="C356" s="101">
        <v>100000491</v>
      </c>
      <c r="D356" s="101" t="s">
        <v>534</v>
      </c>
      <c r="E356" s="101" t="s">
        <v>522</v>
      </c>
      <c r="F356" s="101" t="s">
        <v>764</v>
      </c>
      <c r="G356" s="101">
        <v>40</v>
      </c>
      <c r="H356" s="103">
        <v>7000</v>
      </c>
      <c r="I356" s="101" t="s">
        <v>193</v>
      </c>
      <c r="J356" s="101"/>
      <c r="K356" s="101"/>
      <c r="L356" s="101" t="s">
        <v>882</v>
      </c>
      <c r="M356" s="101"/>
      <c r="N356" s="101">
        <v>3010</v>
      </c>
      <c r="O356" s="101"/>
      <c r="P356" s="101" t="s">
        <v>539</v>
      </c>
      <c r="Q356" s="101" t="s">
        <v>883</v>
      </c>
      <c r="R356" s="101"/>
      <c r="S356" s="101"/>
      <c r="T356" s="101"/>
      <c r="U356" s="101"/>
      <c r="V356" s="101" t="s">
        <v>40</v>
      </c>
      <c r="W356" s="101">
        <v>4501504</v>
      </c>
      <c r="X356" t="str">
        <f t="shared" si="5"/>
        <v>Others</v>
      </c>
      <c r="Y356">
        <v>1792658</v>
      </c>
    </row>
    <row r="357" spans="1:25" hidden="1">
      <c r="A357" s="101"/>
      <c r="B357" s="101" t="s">
        <v>791</v>
      </c>
      <c r="C357" s="101">
        <v>100000493</v>
      </c>
      <c r="D357" s="101" t="s">
        <v>534</v>
      </c>
      <c r="E357" s="101" t="s">
        <v>522</v>
      </c>
      <c r="F357" s="101" t="s">
        <v>764</v>
      </c>
      <c r="G357" s="101">
        <v>40</v>
      </c>
      <c r="H357" s="103">
        <v>1000000</v>
      </c>
      <c r="I357" s="101" t="s">
        <v>193</v>
      </c>
      <c r="J357" s="101"/>
      <c r="K357" s="101"/>
      <c r="L357" s="101" t="s">
        <v>884</v>
      </c>
      <c r="M357" s="101"/>
      <c r="N357" s="101">
        <v>3010</v>
      </c>
      <c r="O357" s="101"/>
      <c r="P357" s="101" t="s">
        <v>539</v>
      </c>
      <c r="Q357" s="101" t="s">
        <v>885</v>
      </c>
      <c r="R357" s="101"/>
      <c r="S357" s="101"/>
      <c r="T357" s="101"/>
      <c r="U357" s="101"/>
      <c r="V357" s="101" t="s">
        <v>40</v>
      </c>
      <c r="W357" s="101">
        <v>4501504</v>
      </c>
      <c r="X357" t="str">
        <f t="shared" si="5"/>
        <v>Others</v>
      </c>
      <c r="Y357">
        <v>1114301</v>
      </c>
    </row>
    <row r="358" spans="1:25" hidden="1">
      <c r="A358" s="101"/>
      <c r="B358" s="101" t="s">
        <v>791</v>
      </c>
      <c r="C358" s="101">
        <v>100000621</v>
      </c>
      <c r="D358" s="101" t="s">
        <v>521</v>
      </c>
      <c r="E358" s="101" t="s">
        <v>522</v>
      </c>
      <c r="F358" s="101" t="s">
        <v>764</v>
      </c>
      <c r="G358" s="101">
        <v>40</v>
      </c>
      <c r="H358" s="103">
        <v>16667</v>
      </c>
      <c r="I358" s="101" t="s">
        <v>193</v>
      </c>
      <c r="J358" s="101"/>
      <c r="K358" s="101"/>
      <c r="L358" s="101" t="s">
        <v>886</v>
      </c>
      <c r="M358" s="101"/>
      <c r="N358" s="101">
        <v>1021</v>
      </c>
      <c r="O358" s="101"/>
      <c r="P358" s="101" t="s">
        <v>539</v>
      </c>
      <c r="Q358" s="101" t="s">
        <v>887</v>
      </c>
      <c r="R358" s="101"/>
      <c r="S358" s="101"/>
      <c r="T358" s="101"/>
      <c r="U358" s="101"/>
      <c r="V358" s="101" t="s">
        <v>40</v>
      </c>
      <c r="W358" s="101">
        <v>4501504</v>
      </c>
      <c r="X358" t="str">
        <f t="shared" si="5"/>
        <v>Others</v>
      </c>
      <c r="Y358">
        <v>4582</v>
      </c>
    </row>
    <row r="359" spans="1:25" hidden="1">
      <c r="A359" s="101"/>
      <c r="B359" s="101" t="s">
        <v>791</v>
      </c>
      <c r="C359" s="101">
        <v>100000624</v>
      </c>
      <c r="D359" s="101" t="s">
        <v>521</v>
      </c>
      <c r="E359" s="101" t="s">
        <v>522</v>
      </c>
      <c r="F359" s="101" t="s">
        <v>764</v>
      </c>
      <c r="G359" s="101">
        <v>40</v>
      </c>
      <c r="H359" s="103">
        <v>52998</v>
      </c>
      <c r="I359" s="101" t="s">
        <v>193</v>
      </c>
      <c r="J359" s="101"/>
      <c r="K359" s="101"/>
      <c r="L359" s="101" t="s">
        <v>886</v>
      </c>
      <c r="M359" s="101"/>
      <c r="N359" s="101">
        <v>1021</v>
      </c>
      <c r="O359" s="101"/>
      <c r="P359" s="101" t="s">
        <v>539</v>
      </c>
      <c r="Q359" s="101" t="s">
        <v>887</v>
      </c>
      <c r="R359" s="101"/>
      <c r="S359" s="101"/>
      <c r="T359" s="101"/>
      <c r="U359" s="101"/>
      <c r="V359" s="101" t="s">
        <v>40</v>
      </c>
      <c r="W359" s="101">
        <v>4501504</v>
      </c>
      <c r="X359" t="str">
        <f t="shared" si="5"/>
        <v>Others</v>
      </c>
      <c r="Y359">
        <v>242709</v>
      </c>
    </row>
    <row r="360" spans="1:25" hidden="1">
      <c r="A360" s="101"/>
      <c r="B360" s="101" t="s">
        <v>791</v>
      </c>
      <c r="C360" s="101">
        <v>100000754</v>
      </c>
      <c r="D360" s="101" t="s">
        <v>569</v>
      </c>
      <c r="E360" s="101" t="s">
        <v>522</v>
      </c>
      <c r="F360" s="102">
        <v>46177</v>
      </c>
      <c r="G360" s="101">
        <v>50</v>
      </c>
      <c r="H360" s="103">
        <v>-250000</v>
      </c>
      <c r="I360" s="101" t="s">
        <v>193</v>
      </c>
      <c r="J360" s="101"/>
      <c r="K360" s="101"/>
      <c r="L360" s="101" t="s">
        <v>860</v>
      </c>
      <c r="M360" s="101"/>
      <c r="N360" s="101">
        <v>1021</v>
      </c>
      <c r="O360" s="101"/>
      <c r="P360" s="101" t="s">
        <v>539</v>
      </c>
      <c r="Q360" s="101" t="s">
        <v>861</v>
      </c>
      <c r="R360" s="101"/>
      <c r="S360" s="101"/>
      <c r="T360" s="101"/>
      <c r="U360" s="101"/>
      <c r="V360" s="101" t="s">
        <v>40</v>
      </c>
      <c r="W360" s="101">
        <v>4501504</v>
      </c>
      <c r="X360" t="str">
        <f t="shared" si="5"/>
        <v>Others</v>
      </c>
      <c r="Y360">
        <v>242709</v>
      </c>
    </row>
    <row r="361" spans="1:25" hidden="1">
      <c r="A361" s="101"/>
      <c r="B361" s="101" t="s">
        <v>791</v>
      </c>
      <c r="C361" s="101">
        <v>100000754</v>
      </c>
      <c r="D361" s="101" t="s">
        <v>569</v>
      </c>
      <c r="E361" s="101" t="s">
        <v>522</v>
      </c>
      <c r="F361" s="102">
        <v>46177</v>
      </c>
      <c r="G361" s="101">
        <v>50</v>
      </c>
      <c r="H361" s="103">
        <v>-550000</v>
      </c>
      <c r="I361" s="101" t="s">
        <v>193</v>
      </c>
      <c r="J361" s="101"/>
      <c r="K361" s="101"/>
      <c r="L361" s="101" t="s">
        <v>860</v>
      </c>
      <c r="M361" s="101"/>
      <c r="N361" s="101">
        <v>1021</v>
      </c>
      <c r="O361" s="101"/>
      <c r="P361" s="101" t="s">
        <v>539</v>
      </c>
      <c r="Q361" s="101" t="s">
        <v>862</v>
      </c>
      <c r="R361" s="101"/>
      <c r="S361" s="101"/>
      <c r="T361" s="101"/>
      <c r="U361" s="101"/>
      <c r="V361" s="101" t="s">
        <v>40</v>
      </c>
      <c r="W361" s="101">
        <v>4501504</v>
      </c>
      <c r="X361" t="str">
        <f t="shared" si="5"/>
        <v>Others</v>
      </c>
      <c r="Y361">
        <v>975813</v>
      </c>
    </row>
    <row r="362" spans="1:25" hidden="1">
      <c r="A362" s="101"/>
      <c r="B362" s="101" t="s">
        <v>791</v>
      </c>
      <c r="C362" s="101">
        <v>100000755</v>
      </c>
      <c r="D362" s="101" t="s">
        <v>534</v>
      </c>
      <c r="E362" s="101" t="s">
        <v>718</v>
      </c>
      <c r="F362" s="102">
        <v>46177</v>
      </c>
      <c r="G362" s="101">
        <v>40</v>
      </c>
      <c r="H362" s="103">
        <v>250000</v>
      </c>
      <c r="I362" s="101" t="s">
        <v>193</v>
      </c>
      <c r="J362" s="101"/>
      <c r="K362" s="101"/>
      <c r="L362" s="101" t="s">
        <v>860</v>
      </c>
      <c r="M362" s="101"/>
      <c r="N362" s="101">
        <v>3010</v>
      </c>
      <c r="O362" s="101"/>
      <c r="P362" s="101" t="s">
        <v>539</v>
      </c>
      <c r="Q362" s="101" t="s">
        <v>861</v>
      </c>
      <c r="R362" s="101"/>
      <c r="S362" s="101"/>
      <c r="T362" s="101"/>
      <c r="U362" s="101"/>
      <c r="V362" s="101" t="s">
        <v>40</v>
      </c>
      <c r="W362" s="101">
        <v>4501504</v>
      </c>
      <c r="X362" t="str">
        <f t="shared" si="5"/>
        <v>Others</v>
      </c>
      <c r="Y362">
        <v>242709</v>
      </c>
    </row>
    <row r="363" spans="1:25" hidden="1">
      <c r="A363" s="101"/>
      <c r="B363" s="101" t="s">
        <v>791</v>
      </c>
      <c r="C363" s="101">
        <v>100000755</v>
      </c>
      <c r="D363" s="101" t="s">
        <v>534</v>
      </c>
      <c r="E363" s="101" t="s">
        <v>718</v>
      </c>
      <c r="F363" s="102">
        <v>46177</v>
      </c>
      <c r="G363" s="101">
        <v>40</v>
      </c>
      <c r="H363" s="103">
        <v>550000</v>
      </c>
      <c r="I363" s="101" t="s">
        <v>193</v>
      </c>
      <c r="J363" s="101"/>
      <c r="K363" s="101"/>
      <c r="L363" s="101" t="s">
        <v>860</v>
      </c>
      <c r="M363" s="101"/>
      <c r="N363" s="101">
        <v>3010</v>
      </c>
      <c r="O363" s="101"/>
      <c r="P363" s="101" t="s">
        <v>539</v>
      </c>
      <c r="Q363" s="101" t="s">
        <v>862</v>
      </c>
      <c r="R363" s="101"/>
      <c r="S363" s="101"/>
      <c r="T363" s="101"/>
      <c r="U363" s="101"/>
      <c r="V363" s="101" t="s">
        <v>40</v>
      </c>
      <c r="W363" s="101">
        <v>4501504</v>
      </c>
      <c r="X363" t="str">
        <f t="shared" si="5"/>
        <v>Others</v>
      </c>
      <c r="Y363">
        <v>251</v>
      </c>
    </row>
    <row r="364" spans="1:25" hidden="1">
      <c r="A364" s="101"/>
      <c r="B364" s="101" t="s">
        <v>791</v>
      </c>
      <c r="C364" s="101">
        <v>100000756</v>
      </c>
      <c r="D364" s="101" t="s">
        <v>534</v>
      </c>
      <c r="E364" s="101" t="s">
        <v>718</v>
      </c>
      <c r="F364" s="101" t="s">
        <v>764</v>
      </c>
      <c r="G364" s="101">
        <v>50</v>
      </c>
      <c r="H364" s="103">
        <v>-20833</v>
      </c>
      <c r="I364" s="101" t="s">
        <v>193</v>
      </c>
      <c r="J364" s="101"/>
      <c r="K364" s="101"/>
      <c r="L364" s="101" t="s">
        <v>873</v>
      </c>
      <c r="M364" s="101"/>
      <c r="N364" s="101">
        <v>3010</v>
      </c>
      <c r="O364" s="101"/>
      <c r="P364" s="101" t="s">
        <v>539</v>
      </c>
      <c r="Q364" s="101" t="s">
        <v>861</v>
      </c>
      <c r="R364" s="101"/>
      <c r="S364" s="101"/>
      <c r="T364" s="101"/>
      <c r="U364" s="101"/>
      <c r="V364" s="101" t="s">
        <v>40</v>
      </c>
      <c r="W364" s="101">
        <v>4501504</v>
      </c>
      <c r="X364" t="str">
        <f t="shared" si="5"/>
        <v>Others</v>
      </c>
      <c r="Y364">
        <v>177311.65000000002</v>
      </c>
    </row>
    <row r="365" spans="1:25" hidden="1">
      <c r="A365" s="101"/>
      <c r="B365" s="101" t="s">
        <v>791</v>
      </c>
      <c r="C365" s="101">
        <v>100000757</v>
      </c>
      <c r="D365" s="101" t="s">
        <v>534</v>
      </c>
      <c r="E365" s="101" t="s">
        <v>718</v>
      </c>
      <c r="F365" s="101" t="s">
        <v>764</v>
      </c>
      <c r="G365" s="101">
        <v>50</v>
      </c>
      <c r="H365" s="103">
        <v>-9167</v>
      </c>
      <c r="I365" s="101" t="s">
        <v>193</v>
      </c>
      <c r="J365" s="101"/>
      <c r="K365" s="101"/>
      <c r="L365" s="101" t="s">
        <v>860</v>
      </c>
      <c r="M365" s="101"/>
      <c r="N365" s="101">
        <v>3010</v>
      </c>
      <c r="O365" s="101"/>
      <c r="P365" s="101" t="s">
        <v>539</v>
      </c>
      <c r="Q365" s="101" t="s">
        <v>862</v>
      </c>
      <c r="R365" s="101"/>
      <c r="S365" s="101"/>
      <c r="T365" s="101"/>
      <c r="U365" s="101"/>
      <c r="V365" s="101" t="s">
        <v>40</v>
      </c>
      <c r="W365" s="101">
        <v>4501504</v>
      </c>
      <c r="X365" t="str">
        <f t="shared" si="5"/>
        <v>Others</v>
      </c>
      <c r="Y365">
        <v>132245.26999999999</v>
      </c>
    </row>
    <row r="366" spans="1:25" hidden="1">
      <c r="A366" s="101"/>
      <c r="B366" s="101" t="s">
        <v>791</v>
      </c>
      <c r="C366" s="101">
        <v>100000758</v>
      </c>
      <c r="D366" s="101" t="s">
        <v>569</v>
      </c>
      <c r="E366" s="101" t="s">
        <v>522</v>
      </c>
      <c r="F366" s="101" t="s">
        <v>764</v>
      </c>
      <c r="G366" s="101">
        <v>40</v>
      </c>
      <c r="H366" s="103">
        <v>20833</v>
      </c>
      <c r="I366" s="101" t="s">
        <v>193</v>
      </c>
      <c r="J366" s="101"/>
      <c r="K366" s="101"/>
      <c r="L366" s="101" t="s">
        <v>873</v>
      </c>
      <c r="M366" s="101"/>
      <c r="N366" s="101">
        <v>1021</v>
      </c>
      <c r="O366" s="101"/>
      <c r="P366" s="101" t="s">
        <v>539</v>
      </c>
      <c r="Q366" s="101" t="s">
        <v>861</v>
      </c>
      <c r="R366" s="101"/>
      <c r="S366" s="101"/>
      <c r="T366" s="101"/>
      <c r="U366" s="101"/>
      <c r="V366" s="101" t="s">
        <v>40</v>
      </c>
      <c r="W366" s="101">
        <v>4501504</v>
      </c>
      <c r="X366" t="str">
        <f t="shared" si="5"/>
        <v>Others</v>
      </c>
      <c r="Y366">
        <v>15424.05</v>
      </c>
    </row>
    <row r="367" spans="1:25" hidden="1">
      <c r="A367" s="101"/>
      <c r="B367" s="101" t="s">
        <v>791</v>
      </c>
      <c r="C367" s="101">
        <v>100000759</v>
      </c>
      <c r="D367" s="101" t="s">
        <v>569</v>
      </c>
      <c r="E367" s="101" t="s">
        <v>522</v>
      </c>
      <c r="F367" s="101" t="s">
        <v>764</v>
      </c>
      <c r="G367" s="101">
        <v>40</v>
      </c>
      <c r="H367" s="103">
        <v>9167</v>
      </c>
      <c r="I367" s="101" t="s">
        <v>193</v>
      </c>
      <c r="J367" s="101"/>
      <c r="K367" s="101"/>
      <c r="L367" s="101" t="s">
        <v>860</v>
      </c>
      <c r="M367" s="101"/>
      <c r="N367" s="101">
        <v>1021</v>
      </c>
      <c r="O367" s="101"/>
      <c r="P367" s="101" t="s">
        <v>539</v>
      </c>
      <c r="Q367" s="101" t="s">
        <v>862</v>
      </c>
      <c r="R367" s="101"/>
      <c r="S367" s="101"/>
      <c r="T367" s="101"/>
      <c r="U367" s="101"/>
      <c r="V367" s="101" t="s">
        <v>40</v>
      </c>
      <c r="W367" s="101">
        <v>4501504</v>
      </c>
      <c r="X367" t="str">
        <f t="shared" si="5"/>
        <v>Others</v>
      </c>
      <c r="Y367">
        <v>173655.72</v>
      </c>
    </row>
    <row r="368" spans="1:25" hidden="1">
      <c r="A368" s="101"/>
      <c r="B368" s="101">
        <v>20260430</v>
      </c>
      <c r="C368" s="101">
        <v>1900000536</v>
      </c>
      <c r="D368" s="101" t="s">
        <v>677</v>
      </c>
      <c r="E368" s="101" t="s">
        <v>535</v>
      </c>
      <c r="F368" s="101" t="s">
        <v>764</v>
      </c>
      <c r="G368" s="101">
        <v>40</v>
      </c>
      <c r="H368" s="103">
        <v>1484045</v>
      </c>
      <c r="I368" s="101" t="s">
        <v>193</v>
      </c>
      <c r="J368" s="101"/>
      <c r="K368" s="101"/>
      <c r="L368" s="101" t="s">
        <v>888</v>
      </c>
      <c r="M368" s="101"/>
      <c r="N368" s="101">
        <v>5010</v>
      </c>
      <c r="O368" s="101"/>
      <c r="P368" s="101" t="s">
        <v>889</v>
      </c>
      <c r="Q368" s="101" t="s">
        <v>890</v>
      </c>
      <c r="R368" s="101"/>
      <c r="S368" s="101"/>
      <c r="T368" s="101"/>
      <c r="U368" s="101"/>
      <c r="V368" s="101" t="s">
        <v>40</v>
      </c>
      <c r="W368" s="101">
        <v>4700501</v>
      </c>
      <c r="X368" t="str">
        <f t="shared" si="5"/>
        <v>EXIM</v>
      </c>
      <c r="Y368">
        <v>10114.620000000001</v>
      </c>
    </row>
    <row r="369" spans="1:25" hidden="1">
      <c r="A369" s="101"/>
      <c r="B369" s="101">
        <v>20260430</v>
      </c>
      <c r="C369" s="101">
        <v>1900000574</v>
      </c>
      <c r="D369" s="101" t="s">
        <v>677</v>
      </c>
      <c r="E369" s="101" t="s">
        <v>535</v>
      </c>
      <c r="F369" s="101" t="s">
        <v>764</v>
      </c>
      <c r="G369" s="101">
        <v>40</v>
      </c>
      <c r="H369" s="103">
        <v>256387</v>
      </c>
      <c r="I369" s="101" t="s">
        <v>193</v>
      </c>
      <c r="J369" s="101"/>
      <c r="K369" s="101"/>
      <c r="L369" s="101" t="s">
        <v>891</v>
      </c>
      <c r="M369" s="101"/>
      <c r="N369" s="101">
        <v>5010</v>
      </c>
      <c r="O369" s="101"/>
      <c r="P369" s="101" t="s">
        <v>889</v>
      </c>
      <c r="Q369" s="101" t="s">
        <v>892</v>
      </c>
      <c r="R369" s="101"/>
      <c r="S369" s="101"/>
      <c r="T369" s="101"/>
      <c r="U369" s="101"/>
      <c r="V369" s="101" t="s">
        <v>40</v>
      </c>
      <c r="W369" s="101">
        <v>4700501</v>
      </c>
      <c r="X369" t="str">
        <f t="shared" si="5"/>
        <v>EXIM</v>
      </c>
      <c r="Y369">
        <v>358267.99</v>
      </c>
    </row>
    <row r="370" spans="1:25" hidden="1">
      <c r="A370" s="101"/>
      <c r="B370" s="101">
        <v>20260430</v>
      </c>
      <c r="C370" s="101">
        <v>1900000575</v>
      </c>
      <c r="D370" s="101" t="s">
        <v>677</v>
      </c>
      <c r="E370" s="101" t="s">
        <v>535</v>
      </c>
      <c r="F370" s="101" t="s">
        <v>764</v>
      </c>
      <c r="G370" s="101">
        <v>40</v>
      </c>
      <c r="H370" s="103">
        <v>1792658</v>
      </c>
      <c r="I370" s="101" t="s">
        <v>193</v>
      </c>
      <c r="J370" s="101"/>
      <c r="K370" s="101"/>
      <c r="L370" s="101" t="s">
        <v>893</v>
      </c>
      <c r="M370" s="101"/>
      <c r="N370" s="101">
        <v>5010</v>
      </c>
      <c r="O370" s="101"/>
      <c r="P370" s="101" t="s">
        <v>889</v>
      </c>
      <c r="Q370" s="101" t="s">
        <v>894</v>
      </c>
      <c r="R370" s="101"/>
      <c r="S370" s="101"/>
      <c r="T370" s="101"/>
      <c r="U370" s="101"/>
      <c r="V370" s="101" t="s">
        <v>40</v>
      </c>
      <c r="W370" s="101">
        <v>4700501</v>
      </c>
      <c r="X370" t="str">
        <f t="shared" si="5"/>
        <v>EXIM</v>
      </c>
      <c r="Y370">
        <v>53363.03</v>
      </c>
    </row>
    <row r="371" spans="1:25" hidden="1">
      <c r="A371" s="101"/>
      <c r="B371" s="101">
        <v>20260430</v>
      </c>
      <c r="C371" s="101">
        <v>1900000576</v>
      </c>
      <c r="D371" s="101" t="s">
        <v>677</v>
      </c>
      <c r="E371" s="101" t="s">
        <v>535</v>
      </c>
      <c r="F371" s="101" t="s">
        <v>764</v>
      </c>
      <c r="G371" s="101">
        <v>40</v>
      </c>
      <c r="H371" s="103">
        <v>1114301</v>
      </c>
      <c r="I371" s="101" t="s">
        <v>193</v>
      </c>
      <c r="J371" s="101"/>
      <c r="K371" s="101"/>
      <c r="L371" s="101" t="s">
        <v>895</v>
      </c>
      <c r="M371" s="101"/>
      <c r="N371" s="101">
        <v>5010</v>
      </c>
      <c r="O371" s="101"/>
      <c r="P371" s="101" t="s">
        <v>889</v>
      </c>
      <c r="Q371" s="101" t="s">
        <v>896</v>
      </c>
      <c r="R371" s="101"/>
      <c r="S371" s="101"/>
      <c r="T371" s="101"/>
      <c r="U371" s="101"/>
      <c r="V371" s="101" t="s">
        <v>40</v>
      </c>
      <c r="W371" s="101">
        <v>4700501</v>
      </c>
      <c r="X371" t="str">
        <f t="shared" si="5"/>
        <v>EXIM</v>
      </c>
      <c r="Y371">
        <v>104462</v>
      </c>
    </row>
    <row r="372" spans="1:25" hidden="1">
      <c r="A372" s="101"/>
      <c r="B372" s="101">
        <v>20260414</v>
      </c>
      <c r="C372" s="101">
        <v>1900000644</v>
      </c>
      <c r="D372" s="101" t="s">
        <v>677</v>
      </c>
      <c r="E372" s="101" t="s">
        <v>535</v>
      </c>
      <c r="F372" s="101" t="s">
        <v>616</v>
      </c>
      <c r="G372" s="101">
        <v>40</v>
      </c>
      <c r="H372" s="103">
        <v>4582</v>
      </c>
      <c r="I372" s="101" t="s">
        <v>193</v>
      </c>
      <c r="J372" s="101"/>
      <c r="K372" s="101"/>
      <c r="L372" s="101" t="s">
        <v>897</v>
      </c>
      <c r="M372" s="101"/>
      <c r="N372" s="101">
        <v>5010</v>
      </c>
      <c r="O372" s="101"/>
      <c r="P372" s="101" t="s">
        <v>842</v>
      </c>
      <c r="Q372" s="101" t="s">
        <v>898</v>
      </c>
      <c r="R372" s="101"/>
      <c r="S372" s="101"/>
      <c r="T372" s="101"/>
      <c r="U372" s="101"/>
      <c r="V372" s="101" t="s">
        <v>40</v>
      </c>
      <c r="W372" s="101">
        <v>4701002</v>
      </c>
      <c r="X372" t="str">
        <f t="shared" si="5"/>
        <v>WCDL</v>
      </c>
      <c r="Y372">
        <v>16977</v>
      </c>
    </row>
    <row r="373" spans="1:25" hidden="1">
      <c r="A373" s="101"/>
      <c r="B373" s="101">
        <v>20260430</v>
      </c>
      <c r="C373" s="101">
        <v>100000277</v>
      </c>
      <c r="D373" s="101" t="s">
        <v>677</v>
      </c>
      <c r="E373" s="101" t="s">
        <v>522</v>
      </c>
      <c r="F373" s="101" t="s">
        <v>764</v>
      </c>
      <c r="G373" s="101">
        <v>40</v>
      </c>
      <c r="H373" s="103">
        <v>975813</v>
      </c>
      <c r="I373" s="101" t="s">
        <v>193</v>
      </c>
      <c r="J373" s="101"/>
      <c r="K373" s="101"/>
      <c r="L373" s="101" t="s">
        <v>899</v>
      </c>
      <c r="M373" s="101"/>
      <c r="N373" s="101">
        <v>5010</v>
      </c>
      <c r="O373" s="101"/>
      <c r="P373" s="101" t="s">
        <v>900</v>
      </c>
      <c r="Q373" s="101" t="s">
        <v>901</v>
      </c>
      <c r="R373" s="101"/>
      <c r="S373" s="101"/>
      <c r="T373" s="101"/>
      <c r="U373" s="101"/>
      <c r="V373" s="101" t="s">
        <v>40</v>
      </c>
      <c r="W373" s="101">
        <v>4701002</v>
      </c>
      <c r="X373" t="str">
        <f t="shared" si="5"/>
        <v>CC</v>
      </c>
      <c r="Y373">
        <v>0</v>
      </c>
    </row>
    <row r="374" spans="1:25" hidden="1">
      <c r="A374" s="101"/>
      <c r="B374" s="101">
        <v>20260430</v>
      </c>
      <c r="C374" s="101">
        <v>100000278</v>
      </c>
      <c r="D374" s="101" t="s">
        <v>677</v>
      </c>
      <c r="E374" s="101" t="s">
        <v>718</v>
      </c>
      <c r="F374" s="101" t="s">
        <v>764</v>
      </c>
      <c r="G374" s="101">
        <v>50</v>
      </c>
      <c r="H374" s="103">
        <v>-975813</v>
      </c>
      <c r="I374" s="101" t="s">
        <v>193</v>
      </c>
      <c r="J374" s="101"/>
      <c r="K374" s="101"/>
      <c r="L374" s="101" t="s">
        <v>899</v>
      </c>
      <c r="M374" s="101"/>
      <c r="N374" s="101">
        <v>5010</v>
      </c>
      <c r="O374" s="101"/>
      <c r="P374" s="101" t="s">
        <v>900</v>
      </c>
      <c r="Q374" s="101" t="s">
        <v>901</v>
      </c>
      <c r="R374" s="101"/>
      <c r="S374" s="101"/>
      <c r="T374" s="101"/>
      <c r="U374" s="101"/>
      <c r="V374" s="101" t="s">
        <v>40</v>
      </c>
      <c r="W374" s="101">
        <v>4701002</v>
      </c>
      <c r="X374" t="str">
        <f t="shared" si="5"/>
        <v>CC</v>
      </c>
      <c r="Y374">
        <v>0</v>
      </c>
    </row>
    <row r="375" spans="1:25" hidden="1">
      <c r="A375" s="101"/>
      <c r="B375" s="101">
        <v>20260430</v>
      </c>
      <c r="C375" s="101">
        <v>100000279</v>
      </c>
      <c r="D375" s="101" t="s">
        <v>677</v>
      </c>
      <c r="E375" s="101" t="s">
        <v>522</v>
      </c>
      <c r="F375" s="101" t="s">
        <v>764</v>
      </c>
      <c r="G375" s="101">
        <v>40</v>
      </c>
      <c r="H375" s="103">
        <v>975813</v>
      </c>
      <c r="I375" s="101" t="s">
        <v>193</v>
      </c>
      <c r="J375" s="101"/>
      <c r="K375" s="101"/>
      <c r="L375" s="101" t="s">
        <v>902</v>
      </c>
      <c r="M375" s="101"/>
      <c r="N375" s="101">
        <v>5010</v>
      </c>
      <c r="O375" s="101"/>
      <c r="P375" s="101" t="s">
        <v>900</v>
      </c>
      <c r="Q375" s="101" t="s">
        <v>903</v>
      </c>
      <c r="R375" s="101"/>
      <c r="S375" s="101"/>
      <c r="T375" s="101"/>
      <c r="U375" s="101"/>
      <c r="V375" s="101" t="s">
        <v>40</v>
      </c>
      <c r="W375" s="101">
        <v>4701002</v>
      </c>
      <c r="X375" t="str">
        <f t="shared" si="5"/>
        <v>CC</v>
      </c>
      <c r="Y375">
        <v>0</v>
      </c>
    </row>
    <row r="376" spans="1:25" hidden="1">
      <c r="A376" s="101"/>
      <c r="B376" s="101">
        <v>20260430</v>
      </c>
      <c r="C376" s="101">
        <v>100000319</v>
      </c>
      <c r="D376" s="101" t="s">
        <v>677</v>
      </c>
      <c r="E376" s="101" t="s">
        <v>522</v>
      </c>
      <c r="F376" s="101" t="s">
        <v>764</v>
      </c>
      <c r="G376" s="101">
        <v>40</v>
      </c>
      <c r="H376" s="103">
        <v>242709</v>
      </c>
      <c r="I376" s="101" t="s">
        <v>193</v>
      </c>
      <c r="J376" s="101"/>
      <c r="K376" s="101"/>
      <c r="L376" s="101" t="s">
        <v>899</v>
      </c>
      <c r="M376" s="101"/>
      <c r="N376" s="101">
        <v>5010</v>
      </c>
      <c r="O376" s="101"/>
      <c r="P376" s="101" t="s">
        <v>900</v>
      </c>
      <c r="Q376" s="101" t="s">
        <v>901</v>
      </c>
      <c r="R376" s="101"/>
      <c r="S376" s="101"/>
      <c r="T376" s="101"/>
      <c r="U376" s="101"/>
      <c r="V376" s="101" t="s">
        <v>40</v>
      </c>
      <c r="W376" s="101">
        <v>4701002</v>
      </c>
      <c r="X376" t="str">
        <f t="shared" si="5"/>
        <v>CC</v>
      </c>
      <c r="Y376">
        <v>0</v>
      </c>
    </row>
    <row r="377" spans="1:25" hidden="1">
      <c r="A377" s="101"/>
      <c r="B377" s="101">
        <v>20260430</v>
      </c>
      <c r="C377" s="101">
        <v>100000657</v>
      </c>
      <c r="D377" s="101" t="s">
        <v>534</v>
      </c>
      <c r="E377" s="101" t="s">
        <v>522</v>
      </c>
      <c r="F377" s="101" t="s">
        <v>764</v>
      </c>
      <c r="G377" s="101">
        <v>40</v>
      </c>
      <c r="H377" s="101">
        <v>251</v>
      </c>
      <c r="I377" s="101" t="s">
        <v>193</v>
      </c>
      <c r="J377" s="101"/>
      <c r="K377" s="101"/>
      <c r="L377" s="101" t="s">
        <v>904</v>
      </c>
      <c r="M377" s="101"/>
      <c r="N377" s="101">
        <v>3010</v>
      </c>
      <c r="O377" s="101"/>
      <c r="P377" s="101" t="s">
        <v>900</v>
      </c>
      <c r="Q377" s="101" t="s">
        <v>905</v>
      </c>
      <c r="R377" s="101"/>
      <c r="S377" s="101"/>
      <c r="T377" s="101"/>
      <c r="U377" s="101"/>
      <c r="V377" s="101" t="s">
        <v>40</v>
      </c>
      <c r="W377" s="101">
        <v>4701002</v>
      </c>
      <c r="X377" t="str">
        <f t="shared" si="5"/>
        <v>CC</v>
      </c>
      <c r="Y377">
        <v>27010</v>
      </c>
    </row>
    <row r="378" spans="1:25" hidden="1">
      <c r="A378" s="101"/>
      <c r="B378" s="101">
        <v>20260422</v>
      </c>
      <c r="C378" s="101">
        <v>1900000585</v>
      </c>
      <c r="D378" s="101" t="s">
        <v>677</v>
      </c>
      <c r="E378" s="101" t="s">
        <v>535</v>
      </c>
      <c r="F378" s="101" t="s">
        <v>713</v>
      </c>
      <c r="G378" s="101">
        <v>40</v>
      </c>
      <c r="H378" s="103">
        <v>177190.6</v>
      </c>
      <c r="I378" s="101" t="s">
        <v>193</v>
      </c>
      <c r="J378" s="101"/>
      <c r="K378" s="101"/>
      <c r="L378" s="101" t="s">
        <v>906</v>
      </c>
      <c r="M378" s="101"/>
      <c r="N378" s="101">
        <v>5010</v>
      </c>
      <c r="O378" s="101"/>
      <c r="P378" s="101" t="s">
        <v>741</v>
      </c>
      <c r="Q378" s="101" t="s">
        <v>907</v>
      </c>
      <c r="R378" s="101"/>
      <c r="S378" s="101"/>
      <c r="T378" s="101"/>
      <c r="U378" s="101"/>
      <c r="V378" s="101" t="s">
        <v>40</v>
      </c>
      <c r="W378" s="101">
        <v>4701003</v>
      </c>
      <c r="X378" t="str">
        <f t="shared" si="5"/>
        <v>PCFC</v>
      </c>
      <c r="Y378">
        <v>5999</v>
      </c>
    </row>
    <row r="379" spans="1:25" hidden="1">
      <c r="A379" s="101"/>
      <c r="B379" s="101">
        <v>20260430</v>
      </c>
      <c r="C379" s="101">
        <v>1900000511</v>
      </c>
      <c r="D379" s="101" t="s">
        <v>677</v>
      </c>
      <c r="E379" s="101" t="s">
        <v>535</v>
      </c>
      <c r="F379" s="101" t="s">
        <v>764</v>
      </c>
      <c r="G379" s="101">
        <v>40</v>
      </c>
      <c r="H379" s="103">
        <v>132245.26999999999</v>
      </c>
      <c r="I379" s="101" t="s">
        <v>193</v>
      </c>
      <c r="J379" s="101"/>
      <c r="K379" s="101"/>
      <c r="L379" s="101" t="s">
        <v>908</v>
      </c>
      <c r="M379" s="101"/>
      <c r="N379" s="101">
        <v>5010</v>
      </c>
      <c r="O379" s="101"/>
      <c r="P379" s="101" t="s">
        <v>741</v>
      </c>
      <c r="Q379" s="101" t="s">
        <v>909</v>
      </c>
      <c r="R379" s="101"/>
      <c r="S379" s="101"/>
      <c r="T379" s="101"/>
      <c r="U379" s="101"/>
      <c r="V379" s="101" t="s">
        <v>40</v>
      </c>
      <c r="W379" s="101">
        <v>4701003</v>
      </c>
      <c r="X379" t="str">
        <f t="shared" si="5"/>
        <v>PCFC</v>
      </c>
      <c r="Y379">
        <v>5385</v>
      </c>
    </row>
    <row r="380" spans="1:25" hidden="1">
      <c r="A380" s="101"/>
      <c r="B380" s="101">
        <v>20260430</v>
      </c>
      <c r="C380" s="101">
        <v>1900000512</v>
      </c>
      <c r="D380" s="101" t="s">
        <v>677</v>
      </c>
      <c r="E380" s="101" t="s">
        <v>535</v>
      </c>
      <c r="F380" s="101" t="s">
        <v>764</v>
      </c>
      <c r="G380" s="101">
        <v>40</v>
      </c>
      <c r="H380" s="103">
        <v>15424.05</v>
      </c>
      <c r="I380" s="101" t="s">
        <v>193</v>
      </c>
      <c r="J380" s="101"/>
      <c r="K380" s="101"/>
      <c r="L380" s="101" t="s">
        <v>910</v>
      </c>
      <c r="M380" s="101"/>
      <c r="N380" s="101">
        <v>5010</v>
      </c>
      <c r="O380" s="101"/>
      <c r="P380" s="101" t="s">
        <v>741</v>
      </c>
      <c r="Q380" s="101" t="s">
        <v>909</v>
      </c>
      <c r="R380" s="101"/>
      <c r="S380" s="101"/>
      <c r="T380" s="101"/>
      <c r="U380" s="101"/>
      <c r="V380" s="101" t="s">
        <v>40</v>
      </c>
      <c r="W380" s="101">
        <v>4701003</v>
      </c>
      <c r="X380" t="str">
        <f t="shared" si="5"/>
        <v>PCFC</v>
      </c>
      <c r="Y380">
        <v>3924</v>
      </c>
    </row>
    <row r="381" spans="1:25" hidden="1">
      <c r="A381" s="101"/>
      <c r="B381" s="101">
        <v>20260430</v>
      </c>
      <c r="C381" s="101">
        <v>1900000514</v>
      </c>
      <c r="D381" s="101" t="s">
        <v>677</v>
      </c>
      <c r="E381" s="101" t="s">
        <v>535</v>
      </c>
      <c r="F381" s="101" t="s">
        <v>764</v>
      </c>
      <c r="G381" s="101">
        <v>40</v>
      </c>
      <c r="H381" s="103">
        <v>173655.72</v>
      </c>
      <c r="I381" s="101" t="s">
        <v>193</v>
      </c>
      <c r="J381" s="101"/>
      <c r="K381" s="101"/>
      <c r="L381" s="101" t="s">
        <v>911</v>
      </c>
      <c r="M381" s="101"/>
      <c r="N381" s="101">
        <v>5010</v>
      </c>
      <c r="O381" s="101"/>
      <c r="P381" s="101" t="s">
        <v>741</v>
      </c>
      <c r="Q381" s="101" t="s">
        <v>909</v>
      </c>
      <c r="R381" s="101"/>
      <c r="S381" s="101"/>
      <c r="T381" s="101"/>
      <c r="U381" s="101"/>
      <c r="V381" s="101" t="s">
        <v>40</v>
      </c>
      <c r="W381" s="101">
        <v>4701003</v>
      </c>
      <c r="X381" t="str">
        <f t="shared" si="5"/>
        <v>PCFC</v>
      </c>
      <c r="Y381">
        <v>1541786.77</v>
      </c>
    </row>
    <row r="382" spans="1:25" hidden="1">
      <c r="A382" s="101"/>
      <c r="B382" s="101">
        <v>20260430</v>
      </c>
      <c r="C382" s="101">
        <v>1900000515</v>
      </c>
      <c r="D382" s="101" t="s">
        <v>677</v>
      </c>
      <c r="E382" s="101" t="s">
        <v>535</v>
      </c>
      <c r="F382" s="101" t="s">
        <v>764</v>
      </c>
      <c r="G382" s="101">
        <v>40</v>
      </c>
      <c r="H382" s="103">
        <v>10114.620000000001</v>
      </c>
      <c r="I382" s="101" t="s">
        <v>193</v>
      </c>
      <c r="J382" s="101"/>
      <c r="K382" s="101"/>
      <c r="L382" s="101" t="s">
        <v>912</v>
      </c>
      <c r="M382" s="101"/>
      <c r="N382" s="101">
        <v>5010</v>
      </c>
      <c r="O382" s="101"/>
      <c r="P382" s="101" t="s">
        <v>741</v>
      </c>
      <c r="Q382" s="101" t="s">
        <v>909</v>
      </c>
      <c r="R382" s="101"/>
      <c r="S382" s="101"/>
      <c r="T382" s="101"/>
      <c r="U382" s="101"/>
      <c r="V382" s="101" t="s">
        <v>40</v>
      </c>
      <c r="W382" s="101">
        <v>4701003</v>
      </c>
      <c r="X382" t="str">
        <f t="shared" si="5"/>
        <v>PCFC</v>
      </c>
      <c r="Y382">
        <v>15506.560000000001</v>
      </c>
    </row>
    <row r="383" spans="1:25" hidden="1">
      <c r="A383" s="101"/>
      <c r="B383" s="101">
        <v>20260430</v>
      </c>
      <c r="C383" s="101">
        <v>1900000710</v>
      </c>
      <c r="D383" s="101" t="s">
        <v>677</v>
      </c>
      <c r="E383" s="101" t="s">
        <v>535</v>
      </c>
      <c r="F383" s="101" t="s">
        <v>764</v>
      </c>
      <c r="G383" s="101">
        <v>40</v>
      </c>
      <c r="H383" s="103">
        <v>358267.99</v>
      </c>
      <c r="I383" s="101" t="s">
        <v>193</v>
      </c>
      <c r="J383" s="101"/>
      <c r="K383" s="101"/>
      <c r="L383" s="101" t="s">
        <v>913</v>
      </c>
      <c r="M383" s="101"/>
      <c r="N383" s="101">
        <v>5010</v>
      </c>
      <c r="O383" s="101"/>
      <c r="P383" s="101" t="s">
        <v>741</v>
      </c>
      <c r="Q383" s="101" t="s">
        <v>914</v>
      </c>
      <c r="R383" s="101"/>
      <c r="S383" s="101"/>
      <c r="T383" s="101"/>
      <c r="U383" s="101"/>
      <c r="V383" s="101" t="s">
        <v>40</v>
      </c>
      <c r="W383" s="101">
        <v>4701003</v>
      </c>
      <c r="X383" t="str">
        <f t="shared" si="5"/>
        <v>PCFC</v>
      </c>
      <c r="Y383">
        <v>3171.19</v>
      </c>
    </row>
    <row r="384" spans="1:25" hidden="1">
      <c r="A384" s="101"/>
      <c r="B384" s="101">
        <v>20260430</v>
      </c>
      <c r="C384" s="101">
        <v>1900000711</v>
      </c>
      <c r="D384" s="101" t="s">
        <v>677</v>
      </c>
      <c r="E384" s="101" t="s">
        <v>535</v>
      </c>
      <c r="F384" s="101" t="s">
        <v>764</v>
      </c>
      <c r="G384" s="101">
        <v>40</v>
      </c>
      <c r="H384" s="103">
        <v>51363.03</v>
      </c>
      <c r="I384" s="101" t="s">
        <v>193</v>
      </c>
      <c r="J384" s="101"/>
      <c r="K384" s="101"/>
      <c r="L384" s="101" t="s">
        <v>740</v>
      </c>
      <c r="M384" s="101"/>
      <c r="N384" s="101">
        <v>5010</v>
      </c>
      <c r="O384" s="101"/>
      <c r="P384" s="101" t="s">
        <v>741</v>
      </c>
      <c r="Q384" s="101" t="s">
        <v>915</v>
      </c>
      <c r="R384" s="101"/>
      <c r="S384" s="101"/>
      <c r="T384" s="101"/>
      <c r="U384" s="101"/>
      <c r="V384" s="101" t="s">
        <v>40</v>
      </c>
      <c r="W384" s="101">
        <v>4701003</v>
      </c>
      <c r="X384" t="str">
        <f t="shared" si="5"/>
        <v>PCFC</v>
      </c>
      <c r="Y384">
        <v>7321.7999999999993</v>
      </c>
    </row>
    <row r="385" spans="1:25" hidden="1">
      <c r="A385" s="101"/>
      <c r="B385" s="101" t="s">
        <v>916</v>
      </c>
      <c r="C385" s="101">
        <v>100000552</v>
      </c>
      <c r="D385" s="101" t="s">
        <v>677</v>
      </c>
      <c r="E385" s="101" t="s">
        <v>522</v>
      </c>
      <c r="F385" s="102">
        <v>46360</v>
      </c>
      <c r="G385" s="101">
        <v>40</v>
      </c>
      <c r="H385" s="103">
        <v>104462</v>
      </c>
      <c r="I385" s="101" t="s">
        <v>193</v>
      </c>
      <c r="J385" s="101"/>
      <c r="K385" s="101"/>
      <c r="L385" s="101" t="s">
        <v>917</v>
      </c>
      <c r="M385" s="101"/>
      <c r="N385" s="101">
        <v>5010</v>
      </c>
      <c r="O385" s="101"/>
      <c r="P385" s="101" t="s">
        <v>918</v>
      </c>
      <c r="Q385" s="101" t="s">
        <v>919</v>
      </c>
      <c r="R385" s="101"/>
      <c r="S385" s="101"/>
      <c r="T385" s="101"/>
      <c r="U385" s="101"/>
      <c r="V385" s="101" t="s">
        <v>40</v>
      </c>
      <c r="W385" s="101">
        <v>4701501</v>
      </c>
      <c r="X385" t="str">
        <f t="shared" si="5"/>
        <v>Car Loan</v>
      </c>
      <c r="Y385">
        <v>9455.5300000000007</v>
      </c>
    </row>
    <row r="386" spans="1:25" hidden="1">
      <c r="A386" s="101"/>
      <c r="B386" s="101">
        <v>20260422</v>
      </c>
      <c r="C386" s="101">
        <v>100000655</v>
      </c>
      <c r="D386" s="101" t="s">
        <v>677</v>
      </c>
      <c r="E386" s="101" t="s">
        <v>522</v>
      </c>
      <c r="F386" s="101" t="s">
        <v>713</v>
      </c>
      <c r="G386" s="101">
        <v>40</v>
      </c>
      <c r="H386" s="103">
        <v>16977</v>
      </c>
      <c r="I386" s="101" t="s">
        <v>193</v>
      </c>
      <c r="J386" s="101"/>
      <c r="K386" s="101"/>
      <c r="L386" s="101">
        <v>290600002586</v>
      </c>
      <c r="M386" s="101"/>
      <c r="N386" s="101">
        <v>5010</v>
      </c>
      <c r="O386" s="101"/>
      <c r="P386" s="101" t="s">
        <v>918</v>
      </c>
      <c r="Q386" s="101" t="s">
        <v>920</v>
      </c>
      <c r="R386" s="101"/>
      <c r="S386" s="101"/>
      <c r="T386" s="101"/>
      <c r="U386" s="101"/>
      <c r="V386" s="101" t="s">
        <v>40</v>
      </c>
      <c r="W386" s="101">
        <v>4701501</v>
      </c>
      <c r="X386" t="str">
        <f t="shared" si="5"/>
        <v>Car Loan</v>
      </c>
      <c r="Y386">
        <v>4986.1400000000003</v>
      </c>
    </row>
    <row r="387" spans="1:25" hidden="1">
      <c r="A387" s="101"/>
      <c r="B387" s="101">
        <v>20260511</v>
      </c>
      <c r="C387" s="101">
        <v>100000671</v>
      </c>
      <c r="D387" s="101" t="s">
        <v>569</v>
      </c>
      <c r="E387" s="101" t="s">
        <v>522</v>
      </c>
      <c r="F387" s="102">
        <v>46331</v>
      </c>
      <c r="G387" s="101">
        <v>40</v>
      </c>
      <c r="H387" s="101">
        <v>2.77</v>
      </c>
      <c r="I387" s="101" t="s">
        <v>193</v>
      </c>
      <c r="J387" s="101"/>
      <c r="K387" s="101"/>
      <c r="L387" s="101"/>
      <c r="M387" s="101"/>
      <c r="N387" s="101">
        <v>1021</v>
      </c>
      <c r="O387" s="101"/>
      <c r="P387" s="101" t="s">
        <v>539</v>
      </c>
      <c r="Q387" s="101" t="s">
        <v>783</v>
      </c>
      <c r="R387" s="101"/>
      <c r="S387" s="101"/>
      <c r="T387" s="101"/>
      <c r="U387" s="101"/>
      <c r="V387" s="101" t="s">
        <v>784</v>
      </c>
      <c r="W387" s="101">
        <v>4701501</v>
      </c>
      <c r="X387" t="e">
        <f t="shared" ref="X387:X450" si="6">VLOOKUP(L387,L:P,5,FALSE)</f>
        <v>#N/A</v>
      </c>
      <c r="Y387">
        <v>5991.71</v>
      </c>
    </row>
    <row r="388" spans="1:25" hidden="1">
      <c r="A388" s="101"/>
      <c r="B388" s="101">
        <v>20260511</v>
      </c>
      <c r="C388" s="101">
        <v>100000673</v>
      </c>
      <c r="D388" s="101" t="s">
        <v>569</v>
      </c>
      <c r="E388" s="101" t="s">
        <v>522</v>
      </c>
      <c r="F388" s="102">
        <v>46331</v>
      </c>
      <c r="G388" s="101">
        <v>40</v>
      </c>
      <c r="H388" s="101">
        <v>2.77</v>
      </c>
      <c r="I388" s="101" t="s">
        <v>193</v>
      </c>
      <c r="J388" s="101"/>
      <c r="K388" s="101"/>
      <c r="L388" s="101"/>
      <c r="M388" s="101"/>
      <c r="N388" s="101">
        <v>1021</v>
      </c>
      <c r="O388" s="101"/>
      <c r="P388" s="101" t="s">
        <v>539</v>
      </c>
      <c r="Q388" s="101" t="s">
        <v>785</v>
      </c>
      <c r="R388" s="101"/>
      <c r="S388" s="101"/>
      <c r="T388" s="101"/>
      <c r="U388" s="101"/>
      <c r="V388" s="101" t="s">
        <v>784</v>
      </c>
      <c r="W388" s="101">
        <v>4701501</v>
      </c>
      <c r="X388" t="e">
        <f t="shared" si="6"/>
        <v>#N/A</v>
      </c>
      <c r="Y388">
        <v>11151.02</v>
      </c>
    </row>
    <row r="389" spans="1:25" hidden="1">
      <c r="A389" s="101"/>
      <c r="B389" s="101">
        <v>20260511</v>
      </c>
      <c r="C389" s="101">
        <v>100000674</v>
      </c>
      <c r="D389" s="101" t="s">
        <v>569</v>
      </c>
      <c r="E389" s="101" t="s">
        <v>718</v>
      </c>
      <c r="F389" s="102">
        <v>46331</v>
      </c>
      <c r="G389" s="101">
        <v>50</v>
      </c>
      <c r="H389" s="101">
        <v>-2.77</v>
      </c>
      <c r="I389" s="101" t="s">
        <v>193</v>
      </c>
      <c r="J389" s="101"/>
      <c r="K389" s="101"/>
      <c r="L389" s="101"/>
      <c r="M389" s="101"/>
      <c r="N389" s="101">
        <v>1021</v>
      </c>
      <c r="O389" s="101"/>
      <c r="P389" s="101" t="s">
        <v>539</v>
      </c>
      <c r="Q389" s="101" t="s">
        <v>783</v>
      </c>
      <c r="R389" s="101"/>
      <c r="S389" s="101"/>
      <c r="T389" s="101"/>
      <c r="U389" s="101"/>
      <c r="V389" s="101" t="s">
        <v>784</v>
      </c>
      <c r="W389" s="101">
        <v>4701501</v>
      </c>
      <c r="X389" t="e">
        <f t="shared" si="6"/>
        <v>#N/A</v>
      </c>
      <c r="Y389">
        <v>3662.4</v>
      </c>
    </row>
    <row r="390" spans="1:25" hidden="1">
      <c r="A390" s="101"/>
      <c r="B390" s="101">
        <v>20260511</v>
      </c>
      <c r="C390" s="101">
        <v>100000675</v>
      </c>
      <c r="D390" s="101" t="s">
        <v>569</v>
      </c>
      <c r="E390" s="101" t="s">
        <v>718</v>
      </c>
      <c r="F390" s="102">
        <v>46331</v>
      </c>
      <c r="G390" s="101">
        <v>50</v>
      </c>
      <c r="H390" s="101">
        <v>-2.77</v>
      </c>
      <c r="I390" s="101" t="s">
        <v>193</v>
      </c>
      <c r="J390" s="101"/>
      <c r="K390" s="101"/>
      <c r="L390" s="101"/>
      <c r="M390" s="101"/>
      <c r="N390" s="101">
        <v>1021</v>
      </c>
      <c r="O390" s="101"/>
      <c r="P390" s="101" t="s">
        <v>539</v>
      </c>
      <c r="Q390" s="101" t="s">
        <v>785</v>
      </c>
      <c r="R390" s="101"/>
      <c r="S390" s="101"/>
      <c r="T390" s="101"/>
      <c r="U390" s="101"/>
      <c r="V390" s="101" t="s">
        <v>784</v>
      </c>
      <c r="W390" s="101">
        <v>4701501</v>
      </c>
      <c r="X390" t="e">
        <f t="shared" si="6"/>
        <v>#N/A</v>
      </c>
      <c r="Y390">
        <v>40506.14</v>
      </c>
    </row>
    <row r="391" spans="1:25" hidden="1">
      <c r="A391" s="101"/>
      <c r="B391" s="101" t="s">
        <v>921</v>
      </c>
      <c r="C391" s="101">
        <v>100000656</v>
      </c>
      <c r="D391" s="101" t="s">
        <v>677</v>
      </c>
      <c r="E391" s="101" t="s">
        <v>522</v>
      </c>
      <c r="F391" s="101" t="s">
        <v>606</v>
      </c>
      <c r="G391" s="101">
        <v>40</v>
      </c>
      <c r="H391" s="103">
        <v>27010</v>
      </c>
      <c r="I391" s="101" t="s">
        <v>193</v>
      </c>
      <c r="J391" s="101"/>
      <c r="K391" s="101"/>
      <c r="L391" s="101" t="s">
        <v>921</v>
      </c>
      <c r="M391" s="101"/>
      <c r="N391" s="101">
        <v>5010</v>
      </c>
      <c r="O391" s="101"/>
      <c r="P391" s="101" t="s">
        <v>918</v>
      </c>
      <c r="Q391" s="101" t="s">
        <v>922</v>
      </c>
      <c r="R391" s="101"/>
      <c r="S391" s="101"/>
      <c r="T391" s="101"/>
      <c r="U391" s="101"/>
      <c r="V391" s="101" t="s">
        <v>40</v>
      </c>
      <c r="W391" s="101">
        <v>4701501</v>
      </c>
      <c r="X391" t="str">
        <f t="shared" si="6"/>
        <v>Car Loan</v>
      </c>
      <c r="Y391">
        <v>36305.71</v>
      </c>
    </row>
    <row r="392" spans="1:25" hidden="1">
      <c r="A392" s="101"/>
      <c r="B392" s="101" t="s">
        <v>923</v>
      </c>
      <c r="C392" s="101">
        <v>100000652</v>
      </c>
      <c r="D392" s="101" t="s">
        <v>677</v>
      </c>
      <c r="E392" s="101" t="s">
        <v>522</v>
      </c>
      <c r="F392" s="102">
        <v>46238</v>
      </c>
      <c r="G392" s="101">
        <v>40</v>
      </c>
      <c r="H392" s="103">
        <v>5999</v>
      </c>
      <c r="I392" s="101" t="s">
        <v>193</v>
      </c>
      <c r="J392" s="101"/>
      <c r="K392" s="101"/>
      <c r="L392" s="101" t="s">
        <v>924</v>
      </c>
      <c r="M392" s="101"/>
      <c r="N392" s="101">
        <v>5010</v>
      </c>
      <c r="O392" s="101"/>
      <c r="P392" s="101" t="s">
        <v>918</v>
      </c>
      <c r="Q392" s="101" t="s">
        <v>925</v>
      </c>
      <c r="R392" s="101"/>
      <c r="S392" s="101"/>
      <c r="T392" s="101"/>
      <c r="U392" s="101"/>
      <c r="V392" s="101" t="s">
        <v>40</v>
      </c>
      <c r="W392" s="101">
        <v>4701501</v>
      </c>
      <c r="X392" t="str">
        <f t="shared" si="6"/>
        <v>Car Loan</v>
      </c>
      <c r="Y392">
        <v>9256.92</v>
      </c>
    </row>
    <row r="393" spans="1:25" hidden="1">
      <c r="A393" s="101"/>
      <c r="B393" s="101" t="s">
        <v>926</v>
      </c>
      <c r="C393" s="101">
        <v>100000028</v>
      </c>
      <c r="D393" s="101" t="s">
        <v>677</v>
      </c>
      <c r="E393" s="101" t="s">
        <v>522</v>
      </c>
      <c r="F393" s="102">
        <v>46146</v>
      </c>
      <c r="G393" s="101">
        <v>40</v>
      </c>
      <c r="H393" s="103">
        <v>5385</v>
      </c>
      <c r="I393" s="101" t="s">
        <v>193</v>
      </c>
      <c r="J393" s="101" t="s">
        <v>789</v>
      </c>
      <c r="K393" s="101"/>
      <c r="L393" s="101" t="s">
        <v>926</v>
      </c>
      <c r="M393" s="101"/>
      <c r="N393" s="101">
        <v>5010</v>
      </c>
      <c r="O393" s="101"/>
      <c r="P393" s="101" t="s">
        <v>918</v>
      </c>
      <c r="Q393" s="101" t="s">
        <v>927</v>
      </c>
      <c r="R393" s="101"/>
      <c r="S393" s="101"/>
      <c r="T393" s="101"/>
      <c r="U393" s="101"/>
      <c r="V393" s="101" t="s">
        <v>40</v>
      </c>
      <c r="W393" s="101">
        <v>4701501</v>
      </c>
      <c r="X393" t="str">
        <f t="shared" si="6"/>
        <v>Car Loan</v>
      </c>
      <c r="Y393">
        <v>993.4</v>
      </c>
    </row>
    <row r="394" spans="1:25" hidden="1">
      <c r="A394" s="101"/>
      <c r="B394" s="101" t="s">
        <v>928</v>
      </c>
      <c r="C394" s="101">
        <v>100000654</v>
      </c>
      <c r="D394" s="101" t="s">
        <v>677</v>
      </c>
      <c r="E394" s="101" t="s">
        <v>522</v>
      </c>
      <c r="F394" s="102">
        <v>46299</v>
      </c>
      <c r="G394" s="101">
        <v>40</v>
      </c>
      <c r="H394" s="103">
        <v>3924</v>
      </c>
      <c r="I394" s="101" t="s">
        <v>193</v>
      </c>
      <c r="J394" s="101"/>
      <c r="K394" s="101"/>
      <c r="L394" s="101">
        <v>290600002494</v>
      </c>
      <c r="M394" s="101"/>
      <c r="N394" s="101">
        <v>5010</v>
      </c>
      <c r="O394" s="101"/>
      <c r="P394" s="101" t="s">
        <v>918</v>
      </c>
      <c r="Q394" s="101" t="s">
        <v>929</v>
      </c>
      <c r="R394" s="101"/>
      <c r="S394" s="101"/>
      <c r="T394" s="101"/>
      <c r="U394" s="101"/>
      <c r="V394" s="101" t="s">
        <v>40</v>
      </c>
      <c r="W394" s="101">
        <v>4701501</v>
      </c>
      <c r="X394" t="str">
        <f t="shared" si="6"/>
        <v>Car Loan</v>
      </c>
      <c r="Y394">
        <v>11761.769999999999</v>
      </c>
    </row>
    <row r="395" spans="1:25" hidden="1">
      <c r="A395" s="101"/>
      <c r="B395" s="101">
        <v>20260331</v>
      </c>
      <c r="C395" s="101">
        <v>100000384</v>
      </c>
      <c r="D395" s="101" t="s">
        <v>521</v>
      </c>
      <c r="E395" s="101" t="s">
        <v>718</v>
      </c>
      <c r="F395" s="101" t="s">
        <v>837</v>
      </c>
      <c r="G395" s="101">
        <v>50</v>
      </c>
      <c r="H395" s="103">
        <v>-1375726.67</v>
      </c>
      <c r="I395" s="101" t="s">
        <v>193</v>
      </c>
      <c r="J395" s="101"/>
      <c r="K395" s="101"/>
      <c r="L395" s="101" t="s">
        <v>930</v>
      </c>
      <c r="M395" s="101"/>
      <c r="N395" s="101">
        <v>1021</v>
      </c>
      <c r="O395" s="101"/>
      <c r="P395" s="101" t="s">
        <v>539</v>
      </c>
      <c r="Q395" s="101" t="s">
        <v>931</v>
      </c>
      <c r="R395" s="101"/>
      <c r="S395" s="101"/>
      <c r="T395" s="101"/>
      <c r="U395" s="101"/>
      <c r="V395" s="101" t="s">
        <v>40</v>
      </c>
      <c r="W395" s="101">
        <v>4701502</v>
      </c>
      <c r="X395" t="str">
        <f t="shared" si="6"/>
        <v>Others</v>
      </c>
      <c r="Y395">
        <v>4571.7299999999996</v>
      </c>
    </row>
    <row r="396" spans="1:25" hidden="1">
      <c r="A396" s="101"/>
      <c r="B396" s="101">
        <v>20260403</v>
      </c>
      <c r="C396" s="101">
        <v>1900000461</v>
      </c>
      <c r="D396" s="101" t="s">
        <v>521</v>
      </c>
      <c r="E396" s="101" t="s">
        <v>535</v>
      </c>
      <c r="F396" s="102">
        <v>46085</v>
      </c>
      <c r="G396" s="101">
        <v>40</v>
      </c>
      <c r="H396" s="103">
        <v>15063.52</v>
      </c>
      <c r="I396" s="101" t="s">
        <v>193</v>
      </c>
      <c r="J396" s="101" t="s">
        <v>789</v>
      </c>
      <c r="K396" s="101"/>
      <c r="L396" s="101" t="s">
        <v>545</v>
      </c>
      <c r="M396" s="101"/>
      <c r="N396" s="101">
        <v>1021</v>
      </c>
      <c r="O396" s="101"/>
      <c r="P396" s="101" t="s">
        <v>539</v>
      </c>
      <c r="Q396" s="101" t="s">
        <v>546</v>
      </c>
      <c r="R396" s="101"/>
      <c r="S396" s="101"/>
      <c r="T396" s="101"/>
      <c r="U396" s="101"/>
      <c r="V396" s="101" t="s">
        <v>40</v>
      </c>
      <c r="W396" s="101">
        <v>4701502</v>
      </c>
      <c r="X396" t="str">
        <f t="shared" si="6"/>
        <v>Others</v>
      </c>
      <c r="Y396">
        <v>8815.380000000001</v>
      </c>
    </row>
    <row r="397" spans="1:25" hidden="1">
      <c r="A397" s="101"/>
      <c r="B397" s="101">
        <v>20260403</v>
      </c>
      <c r="C397" s="101">
        <v>1900000462</v>
      </c>
      <c r="D397" s="101" t="s">
        <v>521</v>
      </c>
      <c r="E397" s="101" t="s">
        <v>535</v>
      </c>
      <c r="F397" s="102">
        <v>46085</v>
      </c>
      <c r="G397" s="101">
        <v>40</v>
      </c>
      <c r="H397" s="103">
        <v>3080.58</v>
      </c>
      <c r="I397" s="101" t="s">
        <v>193</v>
      </c>
      <c r="J397" s="101" t="s">
        <v>789</v>
      </c>
      <c r="K397" s="101"/>
      <c r="L397" s="101" t="s">
        <v>547</v>
      </c>
      <c r="M397" s="101"/>
      <c r="N397" s="101">
        <v>1021</v>
      </c>
      <c r="O397" s="101"/>
      <c r="P397" s="101" t="s">
        <v>539</v>
      </c>
      <c r="Q397" s="101" t="s">
        <v>548</v>
      </c>
      <c r="R397" s="101"/>
      <c r="S397" s="101"/>
      <c r="T397" s="101"/>
      <c r="U397" s="101"/>
      <c r="V397" s="101" t="s">
        <v>40</v>
      </c>
      <c r="W397" s="101">
        <v>4701502</v>
      </c>
      <c r="X397" t="str">
        <f t="shared" si="6"/>
        <v>Others</v>
      </c>
      <c r="Y397">
        <v>12282.03</v>
      </c>
    </row>
    <row r="398" spans="1:25" hidden="1">
      <c r="A398" s="101"/>
      <c r="B398" s="101">
        <v>20260403</v>
      </c>
      <c r="C398" s="101">
        <v>1900000464</v>
      </c>
      <c r="D398" s="101" t="s">
        <v>521</v>
      </c>
      <c r="E398" s="101" t="s">
        <v>535</v>
      </c>
      <c r="F398" s="102">
        <v>46085</v>
      </c>
      <c r="G398" s="101">
        <v>40</v>
      </c>
      <c r="H398" s="103">
        <v>7112.61</v>
      </c>
      <c r="I398" s="101" t="s">
        <v>193</v>
      </c>
      <c r="J398" s="101" t="s">
        <v>789</v>
      </c>
      <c r="K398" s="101"/>
      <c r="L398" s="101" t="s">
        <v>549</v>
      </c>
      <c r="M398" s="101"/>
      <c r="N398" s="101">
        <v>1021</v>
      </c>
      <c r="O398" s="101"/>
      <c r="P398" s="101" t="s">
        <v>539</v>
      </c>
      <c r="Q398" s="101" t="s">
        <v>550</v>
      </c>
      <c r="R398" s="101"/>
      <c r="S398" s="101"/>
      <c r="T398" s="101"/>
      <c r="U398" s="101"/>
      <c r="V398" s="101" t="s">
        <v>40</v>
      </c>
      <c r="W398" s="101">
        <v>4701502</v>
      </c>
      <c r="X398" t="str">
        <f t="shared" si="6"/>
        <v>Others</v>
      </c>
      <c r="Y398">
        <v>39940.65</v>
      </c>
    </row>
    <row r="399" spans="1:25" hidden="1">
      <c r="A399" s="101"/>
      <c r="B399" s="101">
        <v>20260403</v>
      </c>
      <c r="C399" s="101">
        <v>1900000465</v>
      </c>
      <c r="D399" s="101" t="s">
        <v>521</v>
      </c>
      <c r="E399" s="101" t="s">
        <v>535</v>
      </c>
      <c r="F399" s="102">
        <v>46085</v>
      </c>
      <c r="G399" s="101">
        <v>40</v>
      </c>
      <c r="H399" s="103">
        <v>9185.3700000000008</v>
      </c>
      <c r="I399" s="101" t="s">
        <v>193</v>
      </c>
      <c r="J399" s="101" t="s">
        <v>789</v>
      </c>
      <c r="K399" s="101"/>
      <c r="L399" s="101" t="s">
        <v>551</v>
      </c>
      <c r="M399" s="101"/>
      <c r="N399" s="101">
        <v>1021</v>
      </c>
      <c r="O399" s="101"/>
      <c r="P399" s="101" t="s">
        <v>539</v>
      </c>
      <c r="Q399" s="101" t="s">
        <v>552</v>
      </c>
      <c r="R399" s="101"/>
      <c r="S399" s="101"/>
      <c r="T399" s="101"/>
      <c r="U399" s="101"/>
      <c r="V399" s="101" t="s">
        <v>40</v>
      </c>
      <c r="W399" s="101">
        <v>4701502</v>
      </c>
      <c r="X399" t="str">
        <f t="shared" si="6"/>
        <v>Others</v>
      </c>
      <c r="Y399">
        <v>26540.73</v>
      </c>
    </row>
    <row r="400" spans="1:25" hidden="1">
      <c r="A400" s="101"/>
      <c r="B400" s="101">
        <v>20260403</v>
      </c>
      <c r="C400" s="101">
        <v>1900000467</v>
      </c>
      <c r="D400" s="101" t="s">
        <v>521</v>
      </c>
      <c r="E400" s="101" t="s">
        <v>535</v>
      </c>
      <c r="F400" s="102">
        <v>46085</v>
      </c>
      <c r="G400" s="101">
        <v>40</v>
      </c>
      <c r="H400" s="103">
        <v>4843.68</v>
      </c>
      <c r="I400" s="101" t="s">
        <v>193</v>
      </c>
      <c r="J400" s="101" t="s">
        <v>789</v>
      </c>
      <c r="K400" s="101"/>
      <c r="L400" s="101" t="s">
        <v>553</v>
      </c>
      <c r="M400" s="101"/>
      <c r="N400" s="101">
        <v>1021</v>
      </c>
      <c r="O400" s="101"/>
      <c r="P400" s="101" t="s">
        <v>539</v>
      </c>
      <c r="Q400" s="101" t="s">
        <v>554</v>
      </c>
      <c r="R400" s="101"/>
      <c r="S400" s="101"/>
      <c r="T400" s="101"/>
      <c r="U400" s="101"/>
      <c r="V400" s="101" t="s">
        <v>40</v>
      </c>
      <c r="W400" s="101">
        <v>4701502</v>
      </c>
      <c r="X400" t="str">
        <f t="shared" si="6"/>
        <v>Others</v>
      </c>
      <c r="Y400">
        <v>10493.71</v>
      </c>
    </row>
    <row r="401" spans="1:25" hidden="1">
      <c r="A401" s="101"/>
      <c r="B401" s="101">
        <v>20260403</v>
      </c>
      <c r="C401" s="101">
        <v>1900000468</v>
      </c>
      <c r="D401" s="101" t="s">
        <v>521</v>
      </c>
      <c r="E401" s="101" t="s">
        <v>535</v>
      </c>
      <c r="F401" s="102">
        <v>46085</v>
      </c>
      <c r="G401" s="101">
        <v>40</v>
      </c>
      <c r="H401" s="103">
        <v>5820.52</v>
      </c>
      <c r="I401" s="101" t="s">
        <v>193</v>
      </c>
      <c r="J401" s="101" t="s">
        <v>789</v>
      </c>
      <c r="K401" s="101"/>
      <c r="L401" s="101" t="s">
        <v>555</v>
      </c>
      <c r="M401" s="101"/>
      <c r="N401" s="101">
        <v>1021</v>
      </c>
      <c r="O401" s="101"/>
      <c r="P401" s="101" t="s">
        <v>539</v>
      </c>
      <c r="Q401" s="101" t="s">
        <v>556</v>
      </c>
      <c r="R401" s="101"/>
      <c r="S401" s="101"/>
      <c r="T401" s="101"/>
      <c r="U401" s="101"/>
      <c r="V401" s="101" t="s">
        <v>40</v>
      </c>
      <c r="W401" s="101">
        <v>4701502</v>
      </c>
      <c r="X401" t="str">
        <f t="shared" si="6"/>
        <v>Others</v>
      </c>
      <c r="Y401">
        <v>21205</v>
      </c>
    </row>
    <row r="402" spans="1:25" hidden="1">
      <c r="A402" s="101"/>
      <c r="B402" s="101">
        <v>20260405</v>
      </c>
      <c r="C402" s="101">
        <v>1900000469</v>
      </c>
      <c r="D402" s="101" t="s">
        <v>521</v>
      </c>
      <c r="E402" s="101" t="s">
        <v>535</v>
      </c>
      <c r="F402" s="102">
        <v>46146</v>
      </c>
      <c r="G402" s="101">
        <v>40</v>
      </c>
      <c r="H402" s="103">
        <v>10832.42</v>
      </c>
      <c r="I402" s="101" t="s">
        <v>193</v>
      </c>
      <c r="J402" s="101" t="s">
        <v>789</v>
      </c>
      <c r="K402" s="101"/>
      <c r="L402" s="101" t="s">
        <v>557</v>
      </c>
      <c r="M402" s="101"/>
      <c r="N402" s="101">
        <v>1021</v>
      </c>
      <c r="O402" s="101"/>
      <c r="P402" s="101" t="s">
        <v>539</v>
      </c>
      <c r="Q402" s="101" t="s">
        <v>558</v>
      </c>
      <c r="R402" s="101"/>
      <c r="S402" s="101"/>
      <c r="T402" s="101"/>
      <c r="U402" s="101"/>
      <c r="V402" s="101" t="s">
        <v>40</v>
      </c>
      <c r="W402" s="101">
        <v>4701502</v>
      </c>
      <c r="X402" t="str">
        <f t="shared" si="6"/>
        <v>Others</v>
      </c>
      <c r="Y402">
        <v>125573.48999999999</v>
      </c>
    </row>
    <row r="403" spans="1:25" hidden="1">
      <c r="A403" s="101"/>
      <c r="B403" s="101">
        <v>20260405</v>
      </c>
      <c r="C403" s="101">
        <v>1900000470</v>
      </c>
      <c r="D403" s="101" t="s">
        <v>521</v>
      </c>
      <c r="E403" s="101" t="s">
        <v>535</v>
      </c>
      <c r="F403" s="102">
        <v>46146</v>
      </c>
      <c r="G403" s="101">
        <v>40</v>
      </c>
      <c r="H403" s="103">
        <v>3557.76</v>
      </c>
      <c r="I403" s="101" t="s">
        <v>193</v>
      </c>
      <c r="J403" s="101" t="s">
        <v>789</v>
      </c>
      <c r="K403" s="101"/>
      <c r="L403" s="101" t="s">
        <v>559</v>
      </c>
      <c r="M403" s="101"/>
      <c r="N403" s="101">
        <v>1021</v>
      </c>
      <c r="O403" s="101"/>
      <c r="P403" s="101" t="s">
        <v>539</v>
      </c>
      <c r="Q403" s="101" t="s">
        <v>560</v>
      </c>
      <c r="R403" s="101"/>
      <c r="S403" s="101"/>
      <c r="T403" s="101"/>
      <c r="U403" s="101"/>
      <c r="V403" s="101" t="s">
        <v>40</v>
      </c>
      <c r="W403" s="101">
        <v>4701502</v>
      </c>
      <c r="X403" t="str">
        <f t="shared" si="6"/>
        <v>Others</v>
      </c>
      <c r="Y403">
        <v>2060.41</v>
      </c>
    </row>
    <row r="404" spans="1:25" hidden="1">
      <c r="A404" s="101"/>
      <c r="B404" s="101">
        <v>20260407</v>
      </c>
      <c r="C404" s="101">
        <v>1900000472</v>
      </c>
      <c r="D404" s="101" t="s">
        <v>521</v>
      </c>
      <c r="E404" s="101" t="s">
        <v>535</v>
      </c>
      <c r="F404" s="102">
        <v>46207</v>
      </c>
      <c r="G404" s="101">
        <v>40</v>
      </c>
      <c r="H404" s="103">
        <v>39348.82</v>
      </c>
      <c r="I404" s="101" t="s">
        <v>193</v>
      </c>
      <c r="J404" s="101" t="s">
        <v>789</v>
      </c>
      <c r="K404" s="101"/>
      <c r="L404" s="101" t="s">
        <v>571</v>
      </c>
      <c r="M404" s="101"/>
      <c r="N404" s="101">
        <v>1021</v>
      </c>
      <c r="O404" s="101"/>
      <c r="P404" s="101" t="s">
        <v>539</v>
      </c>
      <c r="Q404" s="101" t="s">
        <v>572</v>
      </c>
      <c r="R404" s="101"/>
      <c r="S404" s="101"/>
      <c r="T404" s="101"/>
      <c r="U404" s="101"/>
      <c r="V404" s="101" t="s">
        <v>40</v>
      </c>
      <c r="W404" s="101">
        <v>4701502</v>
      </c>
      <c r="X404" t="str">
        <f t="shared" si="6"/>
        <v>Others</v>
      </c>
      <c r="Y404">
        <v>930.37</v>
      </c>
    </row>
    <row r="405" spans="1:25" hidden="1">
      <c r="A405" s="101"/>
      <c r="B405" s="101">
        <v>20260408</v>
      </c>
      <c r="C405" s="101">
        <v>1900000473</v>
      </c>
      <c r="D405" s="101" t="s">
        <v>521</v>
      </c>
      <c r="E405" s="101" t="s">
        <v>535</v>
      </c>
      <c r="F405" s="102">
        <v>46238</v>
      </c>
      <c r="G405" s="101">
        <v>40</v>
      </c>
      <c r="H405" s="103">
        <v>35268.400000000001</v>
      </c>
      <c r="I405" s="101" t="s">
        <v>193</v>
      </c>
      <c r="J405" s="101" t="s">
        <v>789</v>
      </c>
      <c r="K405" s="101"/>
      <c r="L405" s="101" t="s">
        <v>577</v>
      </c>
      <c r="M405" s="101"/>
      <c r="N405" s="101">
        <v>1021</v>
      </c>
      <c r="O405" s="101"/>
      <c r="P405" s="101" t="s">
        <v>539</v>
      </c>
      <c r="Q405" s="101" t="s">
        <v>578</v>
      </c>
      <c r="R405" s="101"/>
      <c r="S405" s="101"/>
      <c r="T405" s="101"/>
      <c r="U405" s="101"/>
      <c r="V405" s="101" t="s">
        <v>40</v>
      </c>
      <c r="W405" s="101">
        <v>4701502</v>
      </c>
      <c r="X405" t="str">
        <f t="shared" si="6"/>
        <v>Others</v>
      </c>
      <c r="Y405">
        <v>2793.39</v>
      </c>
    </row>
    <row r="406" spans="1:25" hidden="1">
      <c r="A406" s="101"/>
      <c r="B406" s="101">
        <v>20260408</v>
      </c>
      <c r="C406" s="101">
        <v>1900000474</v>
      </c>
      <c r="D406" s="101" t="s">
        <v>521</v>
      </c>
      <c r="E406" s="101" t="s">
        <v>535</v>
      </c>
      <c r="F406" s="102">
        <v>46238</v>
      </c>
      <c r="G406" s="101">
        <v>40</v>
      </c>
      <c r="H406" s="103">
        <v>8992.44</v>
      </c>
      <c r="I406" s="101" t="s">
        <v>193</v>
      </c>
      <c r="J406" s="101" t="s">
        <v>789</v>
      </c>
      <c r="K406" s="101"/>
      <c r="L406" s="101" t="s">
        <v>579</v>
      </c>
      <c r="M406" s="101"/>
      <c r="N406" s="101">
        <v>1021</v>
      </c>
      <c r="O406" s="101"/>
      <c r="P406" s="101" t="s">
        <v>539</v>
      </c>
      <c r="Q406" s="101" t="s">
        <v>580</v>
      </c>
      <c r="R406" s="101"/>
      <c r="S406" s="101"/>
      <c r="T406" s="101"/>
      <c r="U406" s="101"/>
      <c r="V406" s="101" t="s">
        <v>40</v>
      </c>
      <c r="W406" s="101">
        <v>4701502</v>
      </c>
      <c r="X406" t="str">
        <f t="shared" si="6"/>
        <v>Others</v>
      </c>
      <c r="Y406">
        <v>125573.48999999999</v>
      </c>
    </row>
    <row r="407" spans="1:25" hidden="1">
      <c r="A407" s="101"/>
      <c r="B407" s="101">
        <v>20260408</v>
      </c>
      <c r="C407" s="101">
        <v>1900000475</v>
      </c>
      <c r="D407" s="101" t="s">
        <v>521</v>
      </c>
      <c r="E407" s="101" t="s">
        <v>535</v>
      </c>
      <c r="F407" s="102">
        <v>46238</v>
      </c>
      <c r="G407" s="101">
        <v>40</v>
      </c>
      <c r="H407" s="101">
        <v>965.02</v>
      </c>
      <c r="I407" s="101" t="s">
        <v>193</v>
      </c>
      <c r="J407" s="101" t="s">
        <v>789</v>
      </c>
      <c r="K407" s="101"/>
      <c r="L407" s="101" t="s">
        <v>581</v>
      </c>
      <c r="M407" s="101"/>
      <c r="N407" s="101">
        <v>1021</v>
      </c>
      <c r="O407" s="101"/>
      <c r="P407" s="101" t="s">
        <v>539</v>
      </c>
      <c r="Q407" s="101" t="s">
        <v>582</v>
      </c>
      <c r="R407" s="101"/>
      <c r="S407" s="101"/>
      <c r="T407" s="101"/>
      <c r="U407" s="101"/>
      <c r="V407" s="101" t="s">
        <v>40</v>
      </c>
      <c r="W407" s="101">
        <v>4701502</v>
      </c>
      <c r="X407" t="str">
        <f t="shared" si="6"/>
        <v>Others</v>
      </c>
      <c r="Y407">
        <v>21205</v>
      </c>
    </row>
    <row r="408" spans="1:25" hidden="1">
      <c r="A408" s="101"/>
      <c r="B408" s="101">
        <v>20260409</v>
      </c>
      <c r="C408" s="101">
        <v>1900000478</v>
      </c>
      <c r="D408" s="101" t="s">
        <v>521</v>
      </c>
      <c r="E408" s="101" t="s">
        <v>535</v>
      </c>
      <c r="F408" s="102">
        <v>46269</v>
      </c>
      <c r="G408" s="101">
        <v>40</v>
      </c>
      <c r="H408" s="103">
        <v>11425.72</v>
      </c>
      <c r="I408" s="101" t="s">
        <v>193</v>
      </c>
      <c r="J408" s="101" t="s">
        <v>789</v>
      </c>
      <c r="K408" s="101"/>
      <c r="L408" s="101" t="s">
        <v>587</v>
      </c>
      <c r="M408" s="101"/>
      <c r="N408" s="101">
        <v>1021</v>
      </c>
      <c r="O408" s="101"/>
      <c r="P408" s="101" t="s">
        <v>539</v>
      </c>
      <c r="Q408" s="101" t="s">
        <v>588</v>
      </c>
      <c r="R408" s="101"/>
      <c r="S408" s="101"/>
      <c r="T408" s="101"/>
      <c r="U408" s="101"/>
      <c r="V408" s="101" t="s">
        <v>40</v>
      </c>
      <c r="W408" s="101">
        <v>4701502</v>
      </c>
      <c r="X408" t="str">
        <f t="shared" si="6"/>
        <v>Others</v>
      </c>
      <c r="Y408">
        <v>4753.6099999999997</v>
      </c>
    </row>
    <row r="409" spans="1:25" hidden="1">
      <c r="A409" s="101"/>
      <c r="B409" s="101">
        <v>20260409</v>
      </c>
      <c r="C409" s="101">
        <v>1900000479</v>
      </c>
      <c r="D409" s="101" t="s">
        <v>521</v>
      </c>
      <c r="E409" s="101" t="s">
        <v>535</v>
      </c>
      <c r="F409" s="102">
        <v>46269</v>
      </c>
      <c r="G409" s="101">
        <v>40</v>
      </c>
      <c r="H409" s="103">
        <v>4441.1099999999997</v>
      </c>
      <c r="I409" s="101" t="s">
        <v>193</v>
      </c>
      <c r="J409" s="101" t="s">
        <v>789</v>
      </c>
      <c r="K409" s="101"/>
      <c r="L409" s="101" t="s">
        <v>589</v>
      </c>
      <c r="M409" s="101"/>
      <c r="N409" s="101">
        <v>1021</v>
      </c>
      <c r="O409" s="101"/>
      <c r="P409" s="101" t="s">
        <v>539</v>
      </c>
      <c r="Q409" s="101" t="s">
        <v>590</v>
      </c>
      <c r="R409" s="101"/>
      <c r="S409" s="101"/>
      <c r="T409" s="101"/>
      <c r="U409" s="101"/>
      <c r="V409" s="101" t="s">
        <v>40</v>
      </c>
      <c r="W409" s="101">
        <v>4701502</v>
      </c>
      <c r="X409" t="str">
        <f t="shared" si="6"/>
        <v>Others</v>
      </c>
      <c r="Y409">
        <v>5378.66</v>
      </c>
    </row>
    <row r="410" spans="1:25" hidden="1">
      <c r="A410" s="101"/>
      <c r="B410" s="101">
        <v>20260409</v>
      </c>
      <c r="C410" s="101">
        <v>1900000480</v>
      </c>
      <c r="D410" s="101" t="s">
        <v>521</v>
      </c>
      <c r="E410" s="101" t="s">
        <v>535</v>
      </c>
      <c r="F410" s="102">
        <v>46269</v>
      </c>
      <c r="G410" s="101">
        <v>40</v>
      </c>
      <c r="H410" s="103">
        <v>8563.51</v>
      </c>
      <c r="I410" s="101" t="s">
        <v>193</v>
      </c>
      <c r="J410" s="101" t="s">
        <v>789</v>
      </c>
      <c r="K410" s="101"/>
      <c r="L410" s="101" t="s">
        <v>591</v>
      </c>
      <c r="M410" s="101"/>
      <c r="N410" s="101">
        <v>1021</v>
      </c>
      <c r="O410" s="101"/>
      <c r="P410" s="101" t="s">
        <v>539</v>
      </c>
      <c r="Q410" s="101" t="s">
        <v>592</v>
      </c>
      <c r="R410" s="101"/>
      <c r="S410" s="101"/>
      <c r="T410" s="101"/>
      <c r="U410" s="101"/>
      <c r="V410" s="101" t="s">
        <v>40</v>
      </c>
      <c r="W410" s="101">
        <v>4701502</v>
      </c>
      <c r="X410" t="str">
        <f t="shared" si="6"/>
        <v>Others</v>
      </c>
      <c r="Y410">
        <v>5817.8200000000006</v>
      </c>
    </row>
    <row r="411" spans="1:25" hidden="1">
      <c r="A411" s="101"/>
      <c r="B411" s="101">
        <v>20260409</v>
      </c>
      <c r="C411" s="101">
        <v>1900000481</v>
      </c>
      <c r="D411" s="101" t="s">
        <v>521</v>
      </c>
      <c r="E411" s="101" t="s">
        <v>535</v>
      </c>
      <c r="F411" s="102">
        <v>46269</v>
      </c>
      <c r="G411" s="101">
        <v>40</v>
      </c>
      <c r="H411" s="103">
        <v>11931.11</v>
      </c>
      <c r="I411" s="101" t="s">
        <v>193</v>
      </c>
      <c r="J411" s="101" t="s">
        <v>789</v>
      </c>
      <c r="K411" s="101"/>
      <c r="L411" s="101" t="s">
        <v>593</v>
      </c>
      <c r="M411" s="101"/>
      <c r="N411" s="101">
        <v>1021</v>
      </c>
      <c r="O411" s="101"/>
      <c r="P411" s="101" t="s">
        <v>539</v>
      </c>
      <c r="Q411" s="101" t="s">
        <v>594</v>
      </c>
      <c r="R411" s="101"/>
      <c r="S411" s="101"/>
      <c r="T411" s="101"/>
      <c r="U411" s="101"/>
      <c r="V411" s="101" t="s">
        <v>40</v>
      </c>
      <c r="W411" s="101">
        <v>4701502</v>
      </c>
      <c r="X411" t="str">
        <f t="shared" si="6"/>
        <v>Others</v>
      </c>
      <c r="Y411">
        <v>18533.740000000002</v>
      </c>
    </row>
    <row r="412" spans="1:25" hidden="1">
      <c r="A412" s="101"/>
      <c r="B412" s="101">
        <v>20260409</v>
      </c>
      <c r="C412" s="101">
        <v>1900000482</v>
      </c>
      <c r="D412" s="101" t="s">
        <v>521</v>
      </c>
      <c r="E412" s="101" t="s">
        <v>535</v>
      </c>
      <c r="F412" s="102">
        <v>46269</v>
      </c>
      <c r="G412" s="101">
        <v>40</v>
      </c>
      <c r="H412" s="103">
        <v>38799.49</v>
      </c>
      <c r="I412" s="101" t="s">
        <v>193</v>
      </c>
      <c r="J412" s="101" t="s">
        <v>789</v>
      </c>
      <c r="K412" s="101"/>
      <c r="L412" s="101" t="s">
        <v>595</v>
      </c>
      <c r="M412" s="101"/>
      <c r="N412" s="101">
        <v>1021</v>
      </c>
      <c r="O412" s="101"/>
      <c r="P412" s="101" t="s">
        <v>539</v>
      </c>
      <c r="Q412" s="101" t="s">
        <v>596</v>
      </c>
      <c r="R412" s="101"/>
      <c r="S412" s="101"/>
      <c r="T412" s="101"/>
      <c r="U412" s="101"/>
      <c r="V412" s="101" t="s">
        <v>40</v>
      </c>
      <c r="W412" s="101">
        <v>4701502</v>
      </c>
      <c r="X412" t="str">
        <f t="shared" si="6"/>
        <v>Others</v>
      </c>
      <c r="Y412">
        <v>80129.11</v>
      </c>
    </row>
    <row r="413" spans="1:25" hidden="1">
      <c r="A413" s="101"/>
      <c r="B413" s="101">
        <v>20260414</v>
      </c>
      <c r="C413" s="101">
        <v>1900000334</v>
      </c>
      <c r="D413" s="101" t="s">
        <v>521</v>
      </c>
      <c r="E413" s="101" t="s">
        <v>535</v>
      </c>
      <c r="F413" s="101" t="s">
        <v>616</v>
      </c>
      <c r="G413" s="101">
        <v>40</v>
      </c>
      <c r="H413" s="103">
        <v>25782.42</v>
      </c>
      <c r="I413" s="101" t="s">
        <v>193</v>
      </c>
      <c r="J413" s="101" t="s">
        <v>789</v>
      </c>
      <c r="K413" s="101"/>
      <c r="L413" s="101" t="s">
        <v>617</v>
      </c>
      <c r="M413" s="101"/>
      <c r="N413" s="101">
        <v>1021</v>
      </c>
      <c r="O413" s="101"/>
      <c r="P413" s="101" t="s">
        <v>539</v>
      </c>
      <c r="Q413" s="101" t="s">
        <v>618</v>
      </c>
      <c r="R413" s="101"/>
      <c r="S413" s="101"/>
      <c r="T413" s="101"/>
      <c r="U413" s="101"/>
      <c r="V413" s="101" t="s">
        <v>40</v>
      </c>
      <c r="W413" s="101">
        <v>4701502</v>
      </c>
      <c r="X413" t="str">
        <f t="shared" si="6"/>
        <v>Others</v>
      </c>
      <c r="Y413">
        <v>80557.289999999994</v>
      </c>
    </row>
    <row r="414" spans="1:25" hidden="1">
      <c r="A414" s="101"/>
      <c r="B414" s="101">
        <v>20260416</v>
      </c>
      <c r="C414" s="101">
        <v>1900000335</v>
      </c>
      <c r="D414" s="101" t="s">
        <v>521</v>
      </c>
      <c r="E414" s="101" t="s">
        <v>535</v>
      </c>
      <c r="F414" s="101" t="s">
        <v>530</v>
      </c>
      <c r="G414" s="101">
        <v>40</v>
      </c>
      <c r="H414" s="103">
        <v>10193.89</v>
      </c>
      <c r="I414" s="101" t="s">
        <v>193</v>
      </c>
      <c r="J414" s="101" t="s">
        <v>789</v>
      </c>
      <c r="K414" s="101"/>
      <c r="L414" s="101" t="s">
        <v>633</v>
      </c>
      <c r="M414" s="101"/>
      <c r="N414" s="101">
        <v>1021</v>
      </c>
      <c r="O414" s="101"/>
      <c r="P414" s="101" t="s">
        <v>539</v>
      </c>
      <c r="Q414" s="101" t="s">
        <v>634</v>
      </c>
      <c r="R414" s="101"/>
      <c r="S414" s="101"/>
      <c r="T414" s="101"/>
      <c r="U414" s="101"/>
      <c r="V414" s="101" t="s">
        <v>40</v>
      </c>
      <c r="W414" s="101">
        <v>4701502</v>
      </c>
      <c r="X414" t="str">
        <f t="shared" si="6"/>
        <v>Others</v>
      </c>
      <c r="Y414">
        <v>6326.24</v>
      </c>
    </row>
    <row r="415" spans="1:25" hidden="1">
      <c r="A415" s="101"/>
      <c r="B415" s="101">
        <v>20260416</v>
      </c>
      <c r="C415" s="101">
        <v>1900000336</v>
      </c>
      <c r="D415" s="101" t="s">
        <v>521</v>
      </c>
      <c r="E415" s="101" t="s">
        <v>535</v>
      </c>
      <c r="F415" s="101" t="s">
        <v>530</v>
      </c>
      <c r="G415" s="101">
        <v>40</v>
      </c>
      <c r="H415" s="103">
        <v>10357.76</v>
      </c>
      <c r="I415" s="101" t="s">
        <v>193</v>
      </c>
      <c r="J415" s="101" t="s">
        <v>789</v>
      </c>
      <c r="K415" s="101"/>
      <c r="L415" s="101" t="s">
        <v>635</v>
      </c>
      <c r="M415" s="101"/>
      <c r="N415" s="101">
        <v>1021</v>
      </c>
      <c r="O415" s="101"/>
      <c r="P415" s="101" t="s">
        <v>539</v>
      </c>
      <c r="Q415" s="101" t="s">
        <v>636</v>
      </c>
      <c r="R415" s="101"/>
      <c r="S415" s="101"/>
      <c r="T415" s="101"/>
      <c r="U415" s="101"/>
      <c r="V415" s="101" t="s">
        <v>40</v>
      </c>
      <c r="W415" s="101">
        <v>4701502</v>
      </c>
      <c r="X415" t="str">
        <f t="shared" si="6"/>
        <v>Others</v>
      </c>
      <c r="Y415">
        <v>51936.159999999996</v>
      </c>
    </row>
    <row r="416" spans="1:25" hidden="1">
      <c r="A416" s="101"/>
      <c r="B416" s="101">
        <v>20260416</v>
      </c>
      <c r="C416" s="101">
        <v>1900000337</v>
      </c>
      <c r="D416" s="101" t="s">
        <v>521</v>
      </c>
      <c r="E416" s="101" t="s">
        <v>535</v>
      </c>
      <c r="F416" s="101" t="s">
        <v>530</v>
      </c>
      <c r="G416" s="101">
        <v>40</v>
      </c>
      <c r="H416" s="103">
        <v>61337.43</v>
      </c>
      <c r="I416" s="101" t="s">
        <v>193</v>
      </c>
      <c r="J416" s="101" t="s">
        <v>789</v>
      </c>
      <c r="K416" s="101"/>
      <c r="L416" s="101" t="s">
        <v>637</v>
      </c>
      <c r="M416" s="101"/>
      <c r="N416" s="101">
        <v>1021</v>
      </c>
      <c r="O416" s="101"/>
      <c r="P416" s="101" t="s">
        <v>539</v>
      </c>
      <c r="Q416" s="101" t="s">
        <v>638</v>
      </c>
      <c r="R416" s="101"/>
      <c r="S416" s="101"/>
      <c r="T416" s="101"/>
      <c r="U416" s="101"/>
      <c r="V416" s="101" t="s">
        <v>40</v>
      </c>
      <c r="W416" s="101">
        <v>4701502</v>
      </c>
      <c r="X416" t="str">
        <f t="shared" si="6"/>
        <v>Others</v>
      </c>
      <c r="Y416">
        <v>18055.45</v>
      </c>
    </row>
    <row r="417" spans="1:25" hidden="1">
      <c r="A417" s="101"/>
      <c r="B417" s="101">
        <v>20260416</v>
      </c>
      <c r="C417" s="101">
        <v>1900000490</v>
      </c>
      <c r="D417" s="101" t="s">
        <v>521</v>
      </c>
      <c r="E417" s="101" t="s">
        <v>535</v>
      </c>
      <c r="F417" s="101" t="s">
        <v>530</v>
      </c>
      <c r="G417" s="101">
        <v>40</v>
      </c>
      <c r="H417" s="103">
        <v>2060.41</v>
      </c>
      <c r="I417" s="101" t="s">
        <v>193</v>
      </c>
      <c r="J417" s="101"/>
      <c r="K417" s="101"/>
      <c r="L417" s="101" t="s">
        <v>932</v>
      </c>
      <c r="M417" s="101"/>
      <c r="N417" s="101">
        <v>1021</v>
      </c>
      <c r="O417" s="101"/>
      <c r="P417" s="101" t="s">
        <v>539</v>
      </c>
      <c r="Q417" s="101" t="s">
        <v>933</v>
      </c>
      <c r="R417" s="101"/>
      <c r="S417" s="101"/>
      <c r="T417" s="101"/>
      <c r="U417" s="101"/>
      <c r="V417" s="101" t="s">
        <v>40</v>
      </c>
      <c r="W417" s="101">
        <v>4701502</v>
      </c>
      <c r="X417" t="str">
        <f t="shared" si="6"/>
        <v>Others</v>
      </c>
      <c r="Y417">
        <v>12657.31</v>
      </c>
    </row>
    <row r="418" spans="1:25" hidden="1">
      <c r="A418" s="101"/>
      <c r="B418" s="101">
        <v>20260416</v>
      </c>
      <c r="C418" s="101">
        <v>1900000491</v>
      </c>
      <c r="D418" s="101" t="s">
        <v>521</v>
      </c>
      <c r="E418" s="101" t="s">
        <v>535</v>
      </c>
      <c r="F418" s="101" t="s">
        <v>530</v>
      </c>
      <c r="G418" s="101">
        <v>40</v>
      </c>
      <c r="H418" s="101">
        <v>930.37</v>
      </c>
      <c r="I418" s="101" t="s">
        <v>193</v>
      </c>
      <c r="J418" s="101"/>
      <c r="K418" s="101"/>
      <c r="L418" s="101" t="s">
        <v>934</v>
      </c>
      <c r="M418" s="101"/>
      <c r="N418" s="101">
        <v>1021</v>
      </c>
      <c r="O418" s="101"/>
      <c r="P418" s="101" t="s">
        <v>539</v>
      </c>
      <c r="Q418" s="101" t="s">
        <v>935</v>
      </c>
      <c r="R418" s="101"/>
      <c r="S418" s="101"/>
      <c r="T418" s="101"/>
      <c r="U418" s="101"/>
      <c r="V418" s="101" t="s">
        <v>40</v>
      </c>
      <c r="W418" s="101">
        <v>4701502</v>
      </c>
      <c r="X418" t="str">
        <f t="shared" si="6"/>
        <v>Others</v>
      </c>
      <c r="Y418">
        <v>766.24</v>
      </c>
    </row>
    <row r="419" spans="1:25" hidden="1">
      <c r="A419" s="101"/>
      <c r="B419" s="101">
        <v>20260416</v>
      </c>
      <c r="C419" s="101">
        <v>1900000493</v>
      </c>
      <c r="D419" s="101" t="s">
        <v>521</v>
      </c>
      <c r="E419" s="101" t="s">
        <v>535</v>
      </c>
      <c r="F419" s="101" t="s">
        <v>530</v>
      </c>
      <c r="G419" s="101">
        <v>40</v>
      </c>
      <c r="H419" s="103">
        <v>2793.39</v>
      </c>
      <c r="I419" s="101" t="s">
        <v>193</v>
      </c>
      <c r="J419" s="101"/>
      <c r="K419" s="101"/>
      <c r="L419" s="101" t="s">
        <v>936</v>
      </c>
      <c r="M419" s="101"/>
      <c r="N419" s="101">
        <v>1021</v>
      </c>
      <c r="O419" s="101"/>
      <c r="P419" s="101" t="s">
        <v>539</v>
      </c>
      <c r="Q419" s="101" t="s">
        <v>937</v>
      </c>
      <c r="R419" s="101"/>
      <c r="S419" s="101"/>
      <c r="T419" s="101"/>
      <c r="U419" s="101"/>
      <c r="V419" s="101" t="s">
        <v>40</v>
      </c>
      <c r="W419" s="101">
        <v>4701502</v>
      </c>
      <c r="X419" t="str">
        <f t="shared" si="6"/>
        <v>Others</v>
      </c>
      <c r="Y419">
        <v>90173.909999999989</v>
      </c>
    </row>
    <row r="420" spans="1:25" hidden="1">
      <c r="A420" s="101"/>
      <c r="B420" s="101">
        <v>20260417</v>
      </c>
      <c r="C420" s="101">
        <v>1900000338</v>
      </c>
      <c r="D420" s="101" t="s">
        <v>521</v>
      </c>
      <c r="E420" s="101" t="s">
        <v>535</v>
      </c>
      <c r="F420" s="101" t="s">
        <v>658</v>
      </c>
      <c r="G420" s="101">
        <v>40</v>
      </c>
      <c r="H420" s="103">
        <v>60648.25</v>
      </c>
      <c r="I420" s="101" t="s">
        <v>193</v>
      </c>
      <c r="J420" s="101" t="s">
        <v>789</v>
      </c>
      <c r="K420" s="101"/>
      <c r="L420" s="101" t="s">
        <v>637</v>
      </c>
      <c r="M420" s="101"/>
      <c r="N420" s="101">
        <v>1021</v>
      </c>
      <c r="O420" s="101"/>
      <c r="P420" s="101" t="s">
        <v>539</v>
      </c>
      <c r="Q420" s="101" t="s">
        <v>662</v>
      </c>
      <c r="R420" s="101"/>
      <c r="S420" s="101"/>
      <c r="T420" s="101"/>
      <c r="U420" s="101"/>
      <c r="V420" s="101" t="s">
        <v>40</v>
      </c>
      <c r="W420" s="101">
        <v>4701502</v>
      </c>
      <c r="X420" t="str">
        <f t="shared" si="6"/>
        <v>Others</v>
      </c>
      <c r="Y420">
        <v>5253.7199999999993</v>
      </c>
    </row>
    <row r="421" spans="1:25" hidden="1">
      <c r="A421" s="101"/>
      <c r="B421" s="101">
        <v>20260417</v>
      </c>
      <c r="C421" s="101">
        <v>1900000339</v>
      </c>
      <c r="D421" s="101" t="s">
        <v>521</v>
      </c>
      <c r="E421" s="101" t="s">
        <v>535</v>
      </c>
      <c r="F421" s="101" t="s">
        <v>658</v>
      </c>
      <c r="G421" s="101">
        <v>40</v>
      </c>
      <c r="H421" s="103">
        <v>10241.379999999999</v>
      </c>
      <c r="I421" s="101" t="s">
        <v>193</v>
      </c>
      <c r="J421" s="101" t="s">
        <v>789</v>
      </c>
      <c r="K421" s="101"/>
      <c r="L421" s="101" t="s">
        <v>635</v>
      </c>
      <c r="M421" s="101"/>
      <c r="N421" s="101">
        <v>1021</v>
      </c>
      <c r="O421" s="101"/>
      <c r="P421" s="101" t="s">
        <v>539</v>
      </c>
      <c r="Q421" s="101" t="s">
        <v>663</v>
      </c>
      <c r="R421" s="101"/>
      <c r="S421" s="101"/>
      <c r="T421" s="101"/>
      <c r="U421" s="101"/>
      <c r="V421" s="101" t="s">
        <v>40</v>
      </c>
      <c r="W421" s="101">
        <v>4701502</v>
      </c>
      <c r="X421" t="str">
        <f t="shared" si="6"/>
        <v>Others</v>
      </c>
      <c r="Y421">
        <v>3867.29</v>
      </c>
    </row>
    <row r="422" spans="1:25" hidden="1">
      <c r="A422" s="101"/>
      <c r="B422" s="101">
        <v>20260417</v>
      </c>
      <c r="C422" s="101">
        <v>1900000340</v>
      </c>
      <c r="D422" s="101" t="s">
        <v>521</v>
      </c>
      <c r="E422" s="101" t="s">
        <v>535</v>
      </c>
      <c r="F422" s="101" t="s">
        <v>658</v>
      </c>
      <c r="G422" s="101">
        <v>40</v>
      </c>
      <c r="H422" s="103">
        <v>4617.79</v>
      </c>
      <c r="I422" s="101" t="s">
        <v>193</v>
      </c>
      <c r="J422" s="101" t="s">
        <v>789</v>
      </c>
      <c r="K422" s="101"/>
      <c r="L422" s="101" t="s">
        <v>664</v>
      </c>
      <c r="M422" s="101"/>
      <c r="N422" s="101">
        <v>1021</v>
      </c>
      <c r="O422" s="101"/>
      <c r="P422" s="101" t="s">
        <v>539</v>
      </c>
      <c r="Q422" s="101" t="s">
        <v>665</v>
      </c>
      <c r="R422" s="101"/>
      <c r="S422" s="101"/>
      <c r="T422" s="101"/>
      <c r="U422" s="101"/>
      <c r="V422" s="101" t="s">
        <v>40</v>
      </c>
      <c r="W422" s="101">
        <v>4701502</v>
      </c>
      <c r="X422" t="str">
        <f t="shared" si="6"/>
        <v>Others</v>
      </c>
      <c r="Y422">
        <v>61449.64</v>
      </c>
    </row>
    <row r="423" spans="1:25" hidden="1">
      <c r="A423" s="101"/>
      <c r="B423" s="101">
        <v>20260420</v>
      </c>
      <c r="C423" s="101">
        <v>1900000341</v>
      </c>
      <c r="D423" s="101" t="s">
        <v>521</v>
      </c>
      <c r="E423" s="101" t="s">
        <v>535</v>
      </c>
      <c r="F423" s="101" t="s">
        <v>675</v>
      </c>
      <c r="G423" s="101">
        <v>40</v>
      </c>
      <c r="H423" s="103">
        <v>5224.9799999999996</v>
      </c>
      <c r="I423" s="101" t="s">
        <v>193</v>
      </c>
      <c r="J423" s="101" t="s">
        <v>789</v>
      </c>
      <c r="K423" s="101"/>
      <c r="L423" s="101" t="s">
        <v>680</v>
      </c>
      <c r="M423" s="101"/>
      <c r="N423" s="101">
        <v>1021</v>
      </c>
      <c r="O423" s="101"/>
      <c r="P423" s="101" t="s">
        <v>539</v>
      </c>
      <c r="Q423" s="101" t="s">
        <v>681</v>
      </c>
      <c r="R423" s="101"/>
      <c r="S423" s="101"/>
      <c r="T423" s="101"/>
      <c r="U423" s="101"/>
      <c r="V423" s="101" t="s">
        <v>40</v>
      </c>
      <c r="W423" s="101">
        <v>4701502</v>
      </c>
      <c r="X423" t="str">
        <f t="shared" si="6"/>
        <v>Others</v>
      </c>
      <c r="Y423">
        <v>10382.75</v>
      </c>
    </row>
    <row r="424" spans="1:25" hidden="1">
      <c r="A424" s="101"/>
      <c r="B424" s="101">
        <v>20260420</v>
      </c>
      <c r="C424" s="101">
        <v>1900000342</v>
      </c>
      <c r="D424" s="101" t="s">
        <v>521</v>
      </c>
      <c r="E424" s="101" t="s">
        <v>535</v>
      </c>
      <c r="F424" s="101" t="s">
        <v>675</v>
      </c>
      <c r="G424" s="101">
        <v>40</v>
      </c>
      <c r="H424" s="103">
        <v>5651.6</v>
      </c>
      <c r="I424" s="101" t="s">
        <v>193</v>
      </c>
      <c r="J424" s="101" t="s">
        <v>789</v>
      </c>
      <c r="K424" s="101"/>
      <c r="L424" s="101" t="s">
        <v>682</v>
      </c>
      <c r="M424" s="101"/>
      <c r="N424" s="101">
        <v>1021</v>
      </c>
      <c r="O424" s="101"/>
      <c r="P424" s="101" t="s">
        <v>539</v>
      </c>
      <c r="Q424" s="101" t="s">
        <v>683</v>
      </c>
      <c r="R424" s="101"/>
      <c r="S424" s="101"/>
      <c r="T424" s="101"/>
      <c r="U424" s="101"/>
      <c r="V424" s="101" t="s">
        <v>40</v>
      </c>
      <c r="W424" s="101">
        <v>4701502</v>
      </c>
      <c r="X424" t="str">
        <f t="shared" si="6"/>
        <v>Others</v>
      </c>
      <c r="Y424">
        <v>15389.24</v>
      </c>
    </row>
    <row r="425" spans="1:25" hidden="1">
      <c r="A425" s="101"/>
      <c r="B425" s="101">
        <v>20260420</v>
      </c>
      <c r="C425" s="101">
        <v>1900000343</v>
      </c>
      <c r="D425" s="101" t="s">
        <v>521</v>
      </c>
      <c r="E425" s="101" t="s">
        <v>535</v>
      </c>
      <c r="F425" s="101" t="s">
        <v>675</v>
      </c>
      <c r="G425" s="101">
        <v>40</v>
      </c>
      <c r="H425" s="103">
        <v>18004.2</v>
      </c>
      <c r="I425" s="101" t="s">
        <v>193</v>
      </c>
      <c r="J425" s="101" t="s">
        <v>789</v>
      </c>
      <c r="K425" s="101"/>
      <c r="L425" s="101" t="s">
        <v>684</v>
      </c>
      <c r="M425" s="101"/>
      <c r="N425" s="101">
        <v>1021</v>
      </c>
      <c r="O425" s="101"/>
      <c r="P425" s="101" t="s">
        <v>539</v>
      </c>
      <c r="Q425" s="101" t="s">
        <v>685</v>
      </c>
      <c r="R425" s="101"/>
      <c r="S425" s="101"/>
      <c r="T425" s="101"/>
      <c r="U425" s="101"/>
      <c r="V425" s="101" t="s">
        <v>40</v>
      </c>
      <c r="W425" s="101">
        <v>4701502</v>
      </c>
      <c r="X425" t="str">
        <f t="shared" si="6"/>
        <v>Others</v>
      </c>
      <c r="Y425">
        <v>12304.22</v>
      </c>
    </row>
    <row r="426" spans="1:25" hidden="1">
      <c r="A426" s="101"/>
      <c r="B426" s="101">
        <v>20260420</v>
      </c>
      <c r="C426" s="101">
        <v>1900000344</v>
      </c>
      <c r="D426" s="101" t="s">
        <v>521</v>
      </c>
      <c r="E426" s="101" t="s">
        <v>535</v>
      </c>
      <c r="F426" s="101" t="s">
        <v>675</v>
      </c>
      <c r="G426" s="101">
        <v>40</v>
      </c>
      <c r="H426" s="103">
        <v>77839.710000000006</v>
      </c>
      <c r="I426" s="101" t="s">
        <v>193</v>
      </c>
      <c r="J426" s="101" t="s">
        <v>789</v>
      </c>
      <c r="K426" s="101"/>
      <c r="L426" s="101" t="s">
        <v>686</v>
      </c>
      <c r="M426" s="101"/>
      <c r="N426" s="101">
        <v>1021</v>
      </c>
      <c r="O426" s="101"/>
      <c r="P426" s="101" t="s">
        <v>539</v>
      </c>
      <c r="Q426" s="101" t="s">
        <v>687</v>
      </c>
      <c r="R426" s="101"/>
      <c r="S426" s="101"/>
      <c r="T426" s="101"/>
      <c r="U426" s="101"/>
      <c r="V426" s="101" t="s">
        <v>40</v>
      </c>
      <c r="W426" s="101">
        <v>4701502</v>
      </c>
      <c r="X426" t="str">
        <f t="shared" si="6"/>
        <v>Others</v>
      </c>
      <c r="Y426">
        <v>24238.61</v>
      </c>
    </row>
    <row r="427" spans="1:25" hidden="1">
      <c r="A427" s="101"/>
      <c r="B427" s="101">
        <v>20260420</v>
      </c>
      <c r="C427" s="101">
        <v>1900000346</v>
      </c>
      <c r="D427" s="101" t="s">
        <v>521</v>
      </c>
      <c r="E427" s="101" t="s">
        <v>535</v>
      </c>
      <c r="F427" s="101" t="s">
        <v>675</v>
      </c>
      <c r="G427" s="101">
        <v>40</v>
      </c>
      <c r="H427" s="103">
        <v>78255.649999999994</v>
      </c>
      <c r="I427" s="101" t="s">
        <v>193</v>
      </c>
      <c r="J427" s="101" t="s">
        <v>789</v>
      </c>
      <c r="K427" s="101"/>
      <c r="L427" s="101" t="s">
        <v>688</v>
      </c>
      <c r="M427" s="101"/>
      <c r="N427" s="101">
        <v>1021</v>
      </c>
      <c r="O427" s="101"/>
      <c r="P427" s="101" t="s">
        <v>539</v>
      </c>
      <c r="Q427" s="101" t="s">
        <v>689</v>
      </c>
      <c r="R427" s="101"/>
      <c r="S427" s="101"/>
      <c r="T427" s="101"/>
      <c r="U427" s="101"/>
      <c r="V427" s="101" t="s">
        <v>40</v>
      </c>
      <c r="W427" s="101">
        <v>4701502</v>
      </c>
      <c r="X427" t="str">
        <f t="shared" si="6"/>
        <v>Others</v>
      </c>
      <c r="Y427">
        <v>1541786.77</v>
      </c>
    </row>
    <row r="428" spans="1:25" hidden="1">
      <c r="A428" s="101"/>
      <c r="B428" s="101">
        <v>20260420</v>
      </c>
      <c r="C428" s="101">
        <v>1900000347</v>
      </c>
      <c r="D428" s="101" t="s">
        <v>521</v>
      </c>
      <c r="E428" s="101" t="s">
        <v>535</v>
      </c>
      <c r="F428" s="101" t="s">
        <v>675</v>
      </c>
      <c r="G428" s="101">
        <v>40</v>
      </c>
      <c r="H428" s="103">
        <v>6145.49</v>
      </c>
      <c r="I428" s="101" t="s">
        <v>193</v>
      </c>
      <c r="J428" s="101" t="s">
        <v>789</v>
      </c>
      <c r="K428" s="101"/>
      <c r="L428" s="101" t="s">
        <v>690</v>
      </c>
      <c r="M428" s="101"/>
      <c r="N428" s="101">
        <v>1021</v>
      </c>
      <c r="O428" s="101"/>
      <c r="P428" s="101" t="s">
        <v>539</v>
      </c>
      <c r="Q428" s="101" t="s">
        <v>691</v>
      </c>
      <c r="R428" s="101"/>
      <c r="S428" s="101"/>
      <c r="T428" s="101"/>
      <c r="U428" s="101"/>
      <c r="V428" s="101" t="s">
        <v>40</v>
      </c>
      <c r="W428" s="101">
        <v>4701502</v>
      </c>
      <c r="X428" t="str">
        <f t="shared" si="6"/>
        <v>Others</v>
      </c>
      <c r="Y428">
        <v>68974.97</v>
      </c>
    </row>
    <row r="429" spans="1:25" hidden="1">
      <c r="A429" s="101"/>
      <c r="B429" s="101">
        <v>20260420</v>
      </c>
      <c r="C429" s="101">
        <v>1900000348</v>
      </c>
      <c r="D429" s="101" t="s">
        <v>521</v>
      </c>
      <c r="E429" s="101" t="s">
        <v>535</v>
      </c>
      <c r="F429" s="101" t="s">
        <v>675</v>
      </c>
      <c r="G429" s="101">
        <v>40</v>
      </c>
      <c r="H429" s="103">
        <v>50452.27</v>
      </c>
      <c r="I429" s="101" t="s">
        <v>193</v>
      </c>
      <c r="J429" s="101" t="s">
        <v>789</v>
      </c>
      <c r="K429" s="101"/>
      <c r="L429" s="101" t="s">
        <v>692</v>
      </c>
      <c r="M429" s="101"/>
      <c r="N429" s="101">
        <v>1021</v>
      </c>
      <c r="O429" s="101"/>
      <c r="P429" s="101" t="s">
        <v>539</v>
      </c>
      <c r="Q429" s="101" t="s">
        <v>693</v>
      </c>
      <c r="R429" s="101"/>
      <c r="S429" s="101"/>
      <c r="T429" s="101"/>
      <c r="U429" s="101"/>
      <c r="V429" s="101" t="s">
        <v>40</v>
      </c>
      <c r="W429" s="101">
        <v>4701502</v>
      </c>
      <c r="X429" t="str">
        <f t="shared" si="6"/>
        <v>Others</v>
      </c>
      <c r="Y429">
        <v>80261.81</v>
      </c>
    </row>
    <row r="430" spans="1:25" hidden="1">
      <c r="A430" s="101"/>
      <c r="B430" s="101">
        <v>20260420</v>
      </c>
      <c r="C430" s="101">
        <v>1900000349</v>
      </c>
      <c r="D430" s="101" t="s">
        <v>521</v>
      </c>
      <c r="E430" s="101" t="s">
        <v>535</v>
      </c>
      <c r="F430" s="101" t="s">
        <v>675</v>
      </c>
      <c r="G430" s="101">
        <v>40</v>
      </c>
      <c r="H430" s="103">
        <v>17539.580000000002</v>
      </c>
      <c r="I430" s="101" t="s">
        <v>193</v>
      </c>
      <c r="J430" s="101" t="s">
        <v>789</v>
      </c>
      <c r="K430" s="101"/>
      <c r="L430" s="101" t="s">
        <v>694</v>
      </c>
      <c r="M430" s="101"/>
      <c r="N430" s="101">
        <v>1021</v>
      </c>
      <c r="O430" s="101"/>
      <c r="P430" s="101" t="s">
        <v>539</v>
      </c>
      <c r="Q430" s="101" t="s">
        <v>695</v>
      </c>
      <c r="R430" s="101"/>
      <c r="S430" s="101"/>
      <c r="T430" s="101"/>
      <c r="U430" s="101"/>
      <c r="V430" s="101" t="s">
        <v>40</v>
      </c>
      <c r="W430" s="101">
        <v>4701502</v>
      </c>
      <c r="X430" t="str">
        <f t="shared" si="6"/>
        <v>Others</v>
      </c>
      <c r="Y430">
        <v>13247.880000000001</v>
      </c>
    </row>
    <row r="431" spans="1:25" hidden="1">
      <c r="A431" s="101"/>
      <c r="B431" s="101">
        <v>20260421</v>
      </c>
      <c r="C431" s="101">
        <v>1900000345</v>
      </c>
      <c r="D431" s="101" t="s">
        <v>521</v>
      </c>
      <c r="E431" s="101" t="s">
        <v>535</v>
      </c>
      <c r="F431" s="101" t="s">
        <v>704</v>
      </c>
      <c r="G431" s="101">
        <v>40</v>
      </c>
      <c r="H431" s="103">
        <v>12295.67</v>
      </c>
      <c r="I431" s="101" t="s">
        <v>193</v>
      </c>
      <c r="J431" s="101" t="s">
        <v>789</v>
      </c>
      <c r="K431" s="101"/>
      <c r="L431" s="101" t="s">
        <v>705</v>
      </c>
      <c r="M431" s="101"/>
      <c r="N431" s="101">
        <v>1021</v>
      </c>
      <c r="O431" s="101"/>
      <c r="P431" s="101" t="s">
        <v>539</v>
      </c>
      <c r="Q431" s="101" t="s">
        <v>706</v>
      </c>
      <c r="R431" s="101"/>
      <c r="S431" s="101"/>
      <c r="T431" s="101"/>
      <c r="U431" s="101"/>
      <c r="V431" s="101" t="s">
        <v>40</v>
      </c>
      <c r="W431" s="101">
        <v>4701502</v>
      </c>
      <c r="X431" t="str">
        <f t="shared" si="6"/>
        <v>Others</v>
      </c>
      <c r="Y431">
        <v>8604.880000000001</v>
      </c>
    </row>
    <row r="432" spans="1:25" hidden="1">
      <c r="A432" s="101"/>
      <c r="B432" s="101">
        <v>20260423</v>
      </c>
      <c r="C432" s="101">
        <v>1900000350</v>
      </c>
      <c r="D432" s="101" t="s">
        <v>521</v>
      </c>
      <c r="E432" s="101" t="s">
        <v>535</v>
      </c>
      <c r="F432" s="101" t="s">
        <v>715</v>
      </c>
      <c r="G432" s="101">
        <v>40</v>
      </c>
      <c r="H432" s="101">
        <v>744.35</v>
      </c>
      <c r="I432" s="101" t="s">
        <v>193</v>
      </c>
      <c r="J432" s="101" t="s">
        <v>789</v>
      </c>
      <c r="K432" s="101"/>
      <c r="L432" s="101" t="s">
        <v>720</v>
      </c>
      <c r="M432" s="101"/>
      <c r="N432" s="101">
        <v>1021</v>
      </c>
      <c r="O432" s="101"/>
      <c r="P432" s="101" t="s">
        <v>539</v>
      </c>
      <c r="Q432" s="101" t="s">
        <v>721</v>
      </c>
      <c r="R432" s="101"/>
      <c r="S432" s="101"/>
      <c r="T432" s="101"/>
      <c r="U432" s="101"/>
      <c r="V432" s="101" t="s">
        <v>40</v>
      </c>
      <c r="W432" s="101">
        <v>4701502</v>
      </c>
      <c r="X432" t="str">
        <f t="shared" si="6"/>
        <v>Others</v>
      </c>
      <c r="Y432">
        <v>1918248.64</v>
      </c>
    </row>
    <row r="433" spans="1:25" hidden="1">
      <c r="A433" s="101"/>
      <c r="B433" s="101">
        <v>20260423</v>
      </c>
      <c r="C433" s="101">
        <v>1900000351</v>
      </c>
      <c r="D433" s="101" t="s">
        <v>521</v>
      </c>
      <c r="E433" s="101" t="s">
        <v>535</v>
      </c>
      <c r="F433" s="101" t="s">
        <v>715</v>
      </c>
      <c r="G433" s="101">
        <v>40</v>
      </c>
      <c r="H433" s="103">
        <v>87597.51</v>
      </c>
      <c r="I433" s="101" t="s">
        <v>193</v>
      </c>
      <c r="J433" s="101" t="s">
        <v>789</v>
      </c>
      <c r="K433" s="101"/>
      <c r="L433" s="101" t="s">
        <v>722</v>
      </c>
      <c r="M433" s="101"/>
      <c r="N433" s="101">
        <v>1021</v>
      </c>
      <c r="O433" s="101"/>
      <c r="P433" s="101" t="s">
        <v>539</v>
      </c>
      <c r="Q433" s="101" t="s">
        <v>723</v>
      </c>
      <c r="R433" s="101"/>
      <c r="S433" s="101"/>
      <c r="T433" s="101"/>
      <c r="U433" s="101"/>
      <c r="V433" s="101" t="s">
        <v>40</v>
      </c>
      <c r="W433" s="101">
        <v>4701502</v>
      </c>
      <c r="X433" t="str">
        <f t="shared" si="6"/>
        <v>Others</v>
      </c>
      <c r="Y433">
        <v>49.2</v>
      </c>
    </row>
    <row r="434" spans="1:25" hidden="1">
      <c r="A434" s="101"/>
      <c r="B434" s="101">
        <v>20260423</v>
      </c>
      <c r="C434" s="101">
        <v>1900000352</v>
      </c>
      <c r="D434" s="101" t="s">
        <v>521</v>
      </c>
      <c r="E434" s="101" t="s">
        <v>535</v>
      </c>
      <c r="F434" s="101" t="s">
        <v>715</v>
      </c>
      <c r="G434" s="101">
        <v>40</v>
      </c>
      <c r="H434" s="103">
        <v>5103.6099999999997</v>
      </c>
      <c r="I434" s="101" t="s">
        <v>193</v>
      </c>
      <c r="J434" s="101" t="s">
        <v>789</v>
      </c>
      <c r="K434" s="101"/>
      <c r="L434" s="101" t="s">
        <v>724</v>
      </c>
      <c r="M434" s="101"/>
      <c r="N434" s="101">
        <v>1021</v>
      </c>
      <c r="O434" s="101"/>
      <c r="P434" s="101" t="s">
        <v>539</v>
      </c>
      <c r="Q434" s="101" t="s">
        <v>725</v>
      </c>
      <c r="R434" s="101"/>
      <c r="S434" s="101"/>
      <c r="T434" s="101"/>
      <c r="U434" s="101"/>
      <c r="V434" s="101" t="s">
        <v>40</v>
      </c>
      <c r="W434" s="101">
        <v>4701502</v>
      </c>
      <c r="X434" t="str">
        <f t="shared" si="6"/>
        <v>Others</v>
      </c>
      <c r="Y434">
        <v>591</v>
      </c>
    </row>
    <row r="435" spans="1:25" hidden="1">
      <c r="A435" s="101"/>
      <c r="B435" s="101">
        <v>20260423</v>
      </c>
      <c r="C435" s="101">
        <v>1900000353</v>
      </c>
      <c r="D435" s="101" t="s">
        <v>521</v>
      </c>
      <c r="E435" s="101" t="s">
        <v>535</v>
      </c>
      <c r="F435" s="101" t="s">
        <v>715</v>
      </c>
      <c r="G435" s="101">
        <v>40</v>
      </c>
      <c r="H435" s="103">
        <v>3756.8</v>
      </c>
      <c r="I435" s="101" t="s">
        <v>193</v>
      </c>
      <c r="J435" s="101" t="s">
        <v>789</v>
      </c>
      <c r="K435" s="101"/>
      <c r="L435" s="101" t="s">
        <v>726</v>
      </c>
      <c r="M435" s="101"/>
      <c r="N435" s="101">
        <v>1021</v>
      </c>
      <c r="O435" s="101"/>
      <c r="P435" s="101" t="s">
        <v>539</v>
      </c>
      <c r="Q435" s="101" t="s">
        <v>727</v>
      </c>
      <c r="R435" s="101"/>
      <c r="S435" s="101"/>
      <c r="T435" s="101"/>
      <c r="U435" s="101"/>
      <c r="V435" s="101" t="s">
        <v>40</v>
      </c>
      <c r="W435" s="101">
        <v>4701502</v>
      </c>
      <c r="X435" t="str">
        <f t="shared" si="6"/>
        <v>Others</v>
      </c>
      <c r="Y435">
        <v>42852</v>
      </c>
    </row>
    <row r="436" spans="1:25" hidden="1">
      <c r="A436" s="101"/>
      <c r="B436" s="101">
        <v>20260423</v>
      </c>
      <c r="C436" s="101">
        <v>1900000354</v>
      </c>
      <c r="D436" s="101" t="s">
        <v>521</v>
      </c>
      <c r="E436" s="101" t="s">
        <v>535</v>
      </c>
      <c r="F436" s="101" t="s">
        <v>715</v>
      </c>
      <c r="G436" s="101">
        <v>40</v>
      </c>
      <c r="H436" s="103">
        <v>59693.94</v>
      </c>
      <c r="I436" s="101" t="s">
        <v>193</v>
      </c>
      <c r="J436" s="101" t="s">
        <v>789</v>
      </c>
      <c r="K436" s="101"/>
      <c r="L436" s="101" t="s">
        <v>728</v>
      </c>
      <c r="M436" s="101"/>
      <c r="N436" s="101">
        <v>1021</v>
      </c>
      <c r="O436" s="101"/>
      <c r="P436" s="101" t="s">
        <v>539</v>
      </c>
      <c r="Q436" s="101" t="s">
        <v>729</v>
      </c>
      <c r="R436" s="101"/>
      <c r="S436" s="101"/>
      <c r="T436" s="101"/>
      <c r="U436" s="101"/>
      <c r="V436" s="101" t="s">
        <v>40</v>
      </c>
      <c r="W436" s="101">
        <v>4701502</v>
      </c>
      <c r="X436" t="str">
        <f t="shared" si="6"/>
        <v>Others</v>
      </c>
      <c r="Y436">
        <v>42852</v>
      </c>
    </row>
    <row r="437" spans="1:25" hidden="1">
      <c r="A437" s="101"/>
      <c r="B437" s="101">
        <v>20260424</v>
      </c>
      <c r="C437" s="101">
        <v>1900000355</v>
      </c>
      <c r="D437" s="101" t="s">
        <v>521</v>
      </c>
      <c r="E437" s="101" t="s">
        <v>535</v>
      </c>
      <c r="F437" s="101" t="s">
        <v>733</v>
      </c>
      <c r="G437" s="101">
        <v>40</v>
      </c>
      <c r="H437" s="103">
        <v>10086.1</v>
      </c>
      <c r="I437" s="101" t="s">
        <v>193</v>
      </c>
      <c r="J437" s="101" t="s">
        <v>789</v>
      </c>
      <c r="K437" s="101"/>
      <c r="L437" s="101" t="s">
        <v>743</v>
      </c>
      <c r="M437" s="101"/>
      <c r="N437" s="101">
        <v>1021</v>
      </c>
      <c r="O437" s="101"/>
      <c r="P437" s="101" t="s">
        <v>539</v>
      </c>
      <c r="Q437" s="101" t="s">
        <v>744</v>
      </c>
      <c r="R437" s="101"/>
      <c r="S437" s="101"/>
      <c r="T437" s="101"/>
      <c r="U437" s="101"/>
      <c r="V437" s="101" t="s">
        <v>40</v>
      </c>
      <c r="W437" s="101">
        <v>4701502</v>
      </c>
      <c r="X437" t="str">
        <f t="shared" si="6"/>
        <v>Others</v>
      </c>
      <c r="Y437">
        <v>0</v>
      </c>
    </row>
    <row r="438" spans="1:25" hidden="1">
      <c r="A438" s="101"/>
      <c r="B438" s="101">
        <v>20260424</v>
      </c>
      <c r="C438" s="101">
        <v>1900000356</v>
      </c>
      <c r="D438" s="101" t="s">
        <v>521</v>
      </c>
      <c r="E438" s="101" t="s">
        <v>535</v>
      </c>
      <c r="F438" s="101" t="s">
        <v>733</v>
      </c>
      <c r="G438" s="101">
        <v>40</v>
      </c>
      <c r="H438" s="103">
        <v>14949.55</v>
      </c>
      <c r="I438" s="101" t="s">
        <v>193</v>
      </c>
      <c r="J438" s="101" t="s">
        <v>789</v>
      </c>
      <c r="K438" s="101"/>
      <c r="L438" s="101" t="s">
        <v>745</v>
      </c>
      <c r="M438" s="101"/>
      <c r="N438" s="101">
        <v>1021</v>
      </c>
      <c r="O438" s="101"/>
      <c r="P438" s="101" t="s">
        <v>539</v>
      </c>
      <c r="Q438" s="101" t="s">
        <v>746</v>
      </c>
      <c r="R438" s="101"/>
      <c r="S438" s="101"/>
      <c r="T438" s="101"/>
      <c r="U438" s="101"/>
      <c r="V438" s="101" t="s">
        <v>40</v>
      </c>
      <c r="W438" s="101">
        <v>4701502</v>
      </c>
      <c r="X438" t="str">
        <f t="shared" si="6"/>
        <v>Others</v>
      </c>
      <c r="Y438">
        <v>3963096</v>
      </c>
    </row>
    <row r="439" spans="1:25" hidden="1">
      <c r="A439" s="101"/>
      <c r="B439" s="101">
        <v>20260428</v>
      </c>
      <c r="C439" s="101">
        <v>1900000357</v>
      </c>
      <c r="D439" s="101" t="s">
        <v>521</v>
      </c>
      <c r="E439" s="101" t="s">
        <v>535</v>
      </c>
      <c r="F439" s="101" t="s">
        <v>755</v>
      </c>
      <c r="G439" s="101">
        <v>40</v>
      </c>
      <c r="H439" s="103">
        <v>11952.67</v>
      </c>
      <c r="I439" s="101" t="s">
        <v>193</v>
      </c>
      <c r="J439" s="101" t="s">
        <v>789</v>
      </c>
      <c r="K439" s="101"/>
      <c r="L439" s="101" t="s">
        <v>758</v>
      </c>
      <c r="M439" s="101"/>
      <c r="N439" s="101">
        <v>1021</v>
      </c>
      <c r="O439" s="101"/>
      <c r="P439" s="101" t="s">
        <v>539</v>
      </c>
      <c r="Q439" s="101" t="s">
        <v>759</v>
      </c>
      <c r="R439" s="101"/>
      <c r="S439" s="101"/>
      <c r="T439" s="101"/>
      <c r="U439" s="101"/>
      <c r="V439" s="101" t="s">
        <v>40</v>
      </c>
      <c r="W439" s="101">
        <v>4701502</v>
      </c>
      <c r="X439" t="str">
        <f t="shared" si="6"/>
        <v>Others</v>
      </c>
      <c r="Y439">
        <v>2435540.81</v>
      </c>
    </row>
    <row r="440" spans="1:25" hidden="1">
      <c r="A440" s="101"/>
      <c r="B440" s="101">
        <v>20260428</v>
      </c>
      <c r="C440" s="101">
        <v>1900000358</v>
      </c>
      <c r="D440" s="101" t="s">
        <v>521</v>
      </c>
      <c r="E440" s="101" t="s">
        <v>535</v>
      </c>
      <c r="F440" s="101" t="s">
        <v>755</v>
      </c>
      <c r="G440" s="101">
        <v>40</v>
      </c>
      <c r="H440" s="103">
        <v>23546.080000000002</v>
      </c>
      <c r="I440" s="101" t="s">
        <v>193</v>
      </c>
      <c r="J440" s="101" t="s">
        <v>789</v>
      </c>
      <c r="K440" s="101"/>
      <c r="L440" s="101" t="s">
        <v>760</v>
      </c>
      <c r="M440" s="101"/>
      <c r="N440" s="101">
        <v>1021</v>
      </c>
      <c r="O440" s="101"/>
      <c r="P440" s="101" t="s">
        <v>539</v>
      </c>
      <c r="Q440" s="101" t="s">
        <v>761</v>
      </c>
      <c r="R440" s="101"/>
      <c r="S440" s="101"/>
      <c r="T440" s="101"/>
      <c r="U440" s="101"/>
      <c r="V440" s="101" t="s">
        <v>40</v>
      </c>
      <c r="W440" s="101">
        <v>4701502</v>
      </c>
      <c r="X440" t="str">
        <f t="shared" si="6"/>
        <v>Others</v>
      </c>
      <c r="Y440">
        <v>1866906.07</v>
      </c>
    </row>
    <row r="441" spans="1:25" hidden="1">
      <c r="A441" s="101"/>
      <c r="B441" s="101">
        <v>20260430</v>
      </c>
      <c r="C441" s="101">
        <v>100000383</v>
      </c>
      <c r="D441" s="101" t="s">
        <v>521</v>
      </c>
      <c r="E441" s="101" t="s">
        <v>522</v>
      </c>
      <c r="F441" s="101" t="s">
        <v>764</v>
      </c>
      <c r="G441" s="101">
        <v>40</v>
      </c>
      <c r="H441" s="103">
        <v>2917513.44</v>
      </c>
      <c r="I441" s="101" t="s">
        <v>193</v>
      </c>
      <c r="J441" s="101"/>
      <c r="K441" s="101"/>
      <c r="L441" s="101" t="s">
        <v>930</v>
      </c>
      <c r="M441" s="101"/>
      <c r="N441" s="101">
        <v>1021</v>
      </c>
      <c r="O441" s="101"/>
      <c r="P441" s="101"/>
      <c r="Q441" s="101" t="s">
        <v>938</v>
      </c>
      <c r="R441" s="101"/>
      <c r="S441" s="101"/>
      <c r="T441" s="101"/>
      <c r="U441" s="101"/>
      <c r="V441" s="101" t="s">
        <v>40</v>
      </c>
      <c r="W441" s="101">
        <v>4701502</v>
      </c>
      <c r="X441" t="str">
        <f t="shared" si="6"/>
        <v>Others</v>
      </c>
      <c r="Y441">
        <v>1326045.1499999999</v>
      </c>
    </row>
    <row r="442" spans="1:25" hidden="1">
      <c r="A442" s="101"/>
      <c r="B442" s="101">
        <v>20260430</v>
      </c>
      <c r="C442" s="101">
        <v>1900000359</v>
      </c>
      <c r="D442" s="101" t="s">
        <v>521</v>
      </c>
      <c r="E442" s="101" t="s">
        <v>535</v>
      </c>
      <c r="F442" s="101" t="s">
        <v>764</v>
      </c>
      <c r="G442" s="101">
        <v>40</v>
      </c>
      <c r="H442" s="103">
        <v>67004.259999999995</v>
      </c>
      <c r="I442" s="101" t="s">
        <v>193</v>
      </c>
      <c r="J442" s="101" t="s">
        <v>789</v>
      </c>
      <c r="K442" s="101"/>
      <c r="L442" s="101" t="s">
        <v>768</v>
      </c>
      <c r="M442" s="101"/>
      <c r="N442" s="101">
        <v>1021</v>
      </c>
      <c r="O442" s="101"/>
      <c r="P442" s="101" t="s">
        <v>539</v>
      </c>
      <c r="Q442" s="101" t="s">
        <v>769</v>
      </c>
      <c r="R442" s="101"/>
      <c r="S442" s="101"/>
      <c r="T442" s="101"/>
      <c r="U442" s="101"/>
      <c r="V442" s="101" t="s">
        <v>40</v>
      </c>
      <c r="W442" s="101">
        <v>4701502</v>
      </c>
      <c r="X442" t="str">
        <f t="shared" si="6"/>
        <v>Others</v>
      </c>
      <c r="Y442">
        <v>401366.4</v>
      </c>
    </row>
    <row r="443" spans="1:25" hidden="1">
      <c r="A443" s="101"/>
      <c r="B443" s="101">
        <v>20260430</v>
      </c>
      <c r="C443" s="101">
        <v>1900000360</v>
      </c>
      <c r="D443" s="101" t="s">
        <v>521</v>
      </c>
      <c r="E443" s="101" t="s">
        <v>535</v>
      </c>
      <c r="F443" s="101" t="s">
        <v>764</v>
      </c>
      <c r="G443" s="101">
        <v>40</v>
      </c>
      <c r="H443" s="103">
        <v>77968.62</v>
      </c>
      <c r="I443" s="101" t="s">
        <v>193</v>
      </c>
      <c r="J443" s="101" t="s">
        <v>789</v>
      </c>
      <c r="K443" s="101"/>
      <c r="L443" s="101" t="s">
        <v>770</v>
      </c>
      <c r="M443" s="101"/>
      <c r="N443" s="101">
        <v>1021</v>
      </c>
      <c r="O443" s="101"/>
      <c r="P443" s="101" t="s">
        <v>539</v>
      </c>
      <c r="Q443" s="101" t="s">
        <v>771</v>
      </c>
      <c r="R443" s="101"/>
      <c r="S443" s="101"/>
      <c r="T443" s="101"/>
      <c r="U443" s="101"/>
      <c r="V443" s="101" t="s">
        <v>40</v>
      </c>
      <c r="W443" s="101">
        <v>4701502</v>
      </c>
      <c r="X443" t="str">
        <f t="shared" si="6"/>
        <v>Others</v>
      </c>
      <c r="Y443">
        <v>27682.2</v>
      </c>
    </row>
    <row r="444" spans="1:25" hidden="1">
      <c r="A444" s="101"/>
      <c r="B444" s="101">
        <v>20260430</v>
      </c>
      <c r="C444" s="101">
        <v>1900000361</v>
      </c>
      <c r="D444" s="101" t="s">
        <v>521</v>
      </c>
      <c r="E444" s="101" t="s">
        <v>535</v>
      </c>
      <c r="F444" s="101" t="s">
        <v>764</v>
      </c>
      <c r="G444" s="101">
        <v>40</v>
      </c>
      <c r="H444" s="103">
        <v>12869.37</v>
      </c>
      <c r="I444" s="101" t="s">
        <v>193</v>
      </c>
      <c r="J444" s="101" t="s">
        <v>789</v>
      </c>
      <c r="K444" s="101"/>
      <c r="L444" s="101" t="s">
        <v>772</v>
      </c>
      <c r="M444" s="101"/>
      <c r="N444" s="101">
        <v>1021</v>
      </c>
      <c r="O444" s="101"/>
      <c r="P444" s="101" t="s">
        <v>539</v>
      </c>
      <c r="Q444" s="101" t="s">
        <v>773</v>
      </c>
      <c r="R444" s="101"/>
      <c r="S444" s="101"/>
      <c r="T444" s="101"/>
      <c r="U444" s="101"/>
      <c r="V444" s="101" t="s">
        <v>40</v>
      </c>
      <c r="W444" s="101">
        <v>4701502</v>
      </c>
      <c r="X444" t="str">
        <f t="shared" si="6"/>
        <v>Others</v>
      </c>
      <c r="Y444">
        <v>3963096</v>
      </c>
    </row>
    <row r="445" spans="1:25" hidden="1">
      <c r="A445" s="101"/>
      <c r="B445" s="101">
        <v>20260430</v>
      </c>
      <c r="C445" s="101">
        <v>1900000362</v>
      </c>
      <c r="D445" s="101" t="s">
        <v>521</v>
      </c>
      <c r="E445" s="101" t="s">
        <v>535</v>
      </c>
      <c r="F445" s="101" t="s">
        <v>764</v>
      </c>
      <c r="G445" s="101">
        <v>40</v>
      </c>
      <c r="H445" s="103">
        <v>8359.0300000000007</v>
      </c>
      <c r="I445" s="101" t="s">
        <v>193</v>
      </c>
      <c r="J445" s="101" t="s">
        <v>789</v>
      </c>
      <c r="K445" s="101"/>
      <c r="L445" s="101" t="s">
        <v>774</v>
      </c>
      <c r="M445" s="101"/>
      <c r="N445" s="101">
        <v>1021</v>
      </c>
      <c r="O445" s="101"/>
      <c r="P445" s="101" t="s">
        <v>539</v>
      </c>
      <c r="Q445" s="101" t="s">
        <v>775</v>
      </c>
      <c r="R445" s="101"/>
      <c r="S445" s="101"/>
      <c r="T445" s="101"/>
      <c r="U445" s="101"/>
      <c r="V445" s="101" t="s">
        <v>40</v>
      </c>
      <c r="W445" s="101">
        <v>4701502</v>
      </c>
      <c r="X445" t="str">
        <f t="shared" si="6"/>
        <v>Others</v>
      </c>
      <c r="Y445">
        <v>11721.19</v>
      </c>
    </row>
    <row r="446" spans="1:25" hidden="1">
      <c r="A446" s="101"/>
      <c r="B446" s="101">
        <v>20260430</v>
      </c>
      <c r="C446" s="101">
        <v>1900000379</v>
      </c>
      <c r="D446" s="101" t="s">
        <v>521</v>
      </c>
      <c r="E446" s="101" t="s">
        <v>535</v>
      </c>
      <c r="F446" s="101" t="s">
        <v>764</v>
      </c>
      <c r="G446" s="101">
        <v>40</v>
      </c>
      <c r="H446" s="103">
        <v>1918248.64</v>
      </c>
      <c r="I446" s="101" t="s">
        <v>193</v>
      </c>
      <c r="J446" s="101"/>
      <c r="K446" s="101"/>
      <c r="L446" s="101" t="s">
        <v>939</v>
      </c>
      <c r="M446" s="101"/>
      <c r="N446" s="101">
        <v>1021</v>
      </c>
      <c r="O446" s="101"/>
      <c r="P446" s="101"/>
      <c r="Q446" s="101" t="s">
        <v>940</v>
      </c>
      <c r="R446" s="101"/>
      <c r="S446" s="101"/>
      <c r="T446" s="101"/>
      <c r="U446" s="101"/>
      <c r="V446" s="101" t="s">
        <v>40</v>
      </c>
      <c r="W446" s="101">
        <v>4701502</v>
      </c>
      <c r="X446">
        <f t="shared" si="6"/>
        <v>0</v>
      </c>
      <c r="Y446">
        <v>11119.49</v>
      </c>
    </row>
    <row r="447" spans="1:25" hidden="1">
      <c r="A447" s="101"/>
      <c r="B447" s="101">
        <v>20260430</v>
      </c>
      <c r="C447" s="101">
        <v>1900000485</v>
      </c>
      <c r="D447" s="101" t="s">
        <v>534</v>
      </c>
      <c r="E447" s="101" t="s">
        <v>535</v>
      </c>
      <c r="F447" s="101" t="s">
        <v>837</v>
      </c>
      <c r="G447" s="101">
        <v>40</v>
      </c>
      <c r="H447" s="101">
        <v>49.2</v>
      </c>
      <c r="I447" s="101" t="s">
        <v>193</v>
      </c>
      <c r="J447" s="101">
        <v>13</v>
      </c>
      <c r="K447" s="101"/>
      <c r="L447" s="101">
        <v>202520260040445</v>
      </c>
      <c r="M447" s="101"/>
      <c r="N447" s="101">
        <v>3010</v>
      </c>
      <c r="O447" s="101"/>
      <c r="P447" s="101"/>
      <c r="Q447" s="101" t="s">
        <v>941</v>
      </c>
      <c r="R447" s="101"/>
      <c r="S447" s="101"/>
      <c r="T447" s="101"/>
      <c r="U447" s="101"/>
      <c r="V447" s="101" t="s">
        <v>40</v>
      </c>
      <c r="W447" s="101">
        <v>4701502</v>
      </c>
      <c r="X447">
        <f t="shared" si="6"/>
        <v>0</v>
      </c>
      <c r="Y447">
        <v>401851.16</v>
      </c>
    </row>
    <row r="448" spans="1:25" hidden="1">
      <c r="A448" s="101"/>
      <c r="B448" s="101" t="s">
        <v>841</v>
      </c>
      <c r="C448" s="101">
        <v>100000696</v>
      </c>
      <c r="D448" s="101" t="s">
        <v>569</v>
      </c>
      <c r="E448" s="101" t="s">
        <v>522</v>
      </c>
      <c r="F448" s="102">
        <v>46026</v>
      </c>
      <c r="G448" s="101">
        <v>40</v>
      </c>
      <c r="H448" s="101">
        <v>591</v>
      </c>
      <c r="I448" s="101" t="s">
        <v>193</v>
      </c>
      <c r="J448" s="101" t="s">
        <v>789</v>
      </c>
      <c r="K448" s="101"/>
      <c r="L448" s="101" t="s">
        <v>942</v>
      </c>
      <c r="M448" s="101"/>
      <c r="N448" s="101">
        <v>1021</v>
      </c>
      <c r="O448" s="101"/>
      <c r="P448" s="101" t="s">
        <v>842</v>
      </c>
      <c r="Q448" s="101" t="s">
        <v>843</v>
      </c>
      <c r="R448" s="101"/>
      <c r="S448" s="101"/>
      <c r="T448" s="101"/>
      <c r="U448" s="101"/>
      <c r="V448" s="101" t="s">
        <v>40</v>
      </c>
      <c r="W448" s="101">
        <v>4701502</v>
      </c>
      <c r="X448" t="str">
        <f t="shared" si="6"/>
        <v>WCDL</v>
      </c>
    </row>
    <row r="449" spans="1:24" hidden="1">
      <c r="A449" s="101"/>
      <c r="B449" s="101">
        <v>20260420</v>
      </c>
      <c r="C449" s="101">
        <v>1500000301</v>
      </c>
      <c r="D449" s="101" t="s">
        <v>677</v>
      </c>
      <c r="E449" s="101" t="s">
        <v>605</v>
      </c>
      <c r="F449" s="101" t="s">
        <v>675</v>
      </c>
      <c r="G449" s="101">
        <v>40</v>
      </c>
      <c r="H449" s="103">
        <v>9942</v>
      </c>
      <c r="I449" s="101" t="s">
        <v>193</v>
      </c>
      <c r="J449" s="101"/>
      <c r="K449" s="101"/>
      <c r="L449" s="101" t="s">
        <v>943</v>
      </c>
      <c r="M449" s="101"/>
      <c r="N449" s="101">
        <v>5010</v>
      </c>
      <c r="O449" s="101"/>
      <c r="P449" s="101" t="s">
        <v>918</v>
      </c>
      <c r="Q449" s="101" t="s">
        <v>944</v>
      </c>
      <c r="R449" s="101"/>
      <c r="S449" s="101"/>
      <c r="T449" s="101"/>
      <c r="U449" s="101"/>
      <c r="V449" s="101" t="s">
        <v>40</v>
      </c>
      <c r="W449" s="101">
        <v>4701504</v>
      </c>
      <c r="X449" t="str">
        <f t="shared" si="6"/>
        <v>Car Loan</v>
      </c>
    </row>
    <row r="450" spans="1:24" hidden="1">
      <c r="A450" s="101"/>
      <c r="B450" s="101">
        <v>20260420</v>
      </c>
      <c r="C450" s="101">
        <v>1500000302</v>
      </c>
      <c r="D450" s="101" t="s">
        <v>677</v>
      </c>
      <c r="E450" s="101" t="s">
        <v>605</v>
      </c>
      <c r="F450" s="101" t="s">
        <v>675</v>
      </c>
      <c r="G450" s="101">
        <v>40</v>
      </c>
      <c r="H450" s="103">
        <v>32910</v>
      </c>
      <c r="I450" s="101" t="s">
        <v>193</v>
      </c>
      <c r="J450" s="101"/>
      <c r="K450" s="101"/>
      <c r="L450" s="101" t="s">
        <v>943</v>
      </c>
      <c r="M450" s="101"/>
      <c r="N450" s="101">
        <v>5010</v>
      </c>
      <c r="O450" s="101"/>
      <c r="P450" s="101" t="s">
        <v>918</v>
      </c>
      <c r="Q450" s="101" t="s">
        <v>945</v>
      </c>
      <c r="R450" s="101"/>
      <c r="S450" s="101"/>
      <c r="T450" s="101"/>
      <c r="U450" s="101"/>
      <c r="V450" s="101" t="s">
        <v>40</v>
      </c>
      <c r="W450" s="101">
        <v>4701504</v>
      </c>
      <c r="X450" t="str">
        <f t="shared" si="6"/>
        <v>Car Loan</v>
      </c>
    </row>
    <row r="451" spans="1:24" hidden="1">
      <c r="A451" s="101"/>
      <c r="B451" s="101" t="s">
        <v>946</v>
      </c>
      <c r="C451" s="101">
        <v>100000681</v>
      </c>
      <c r="D451" s="101" t="s">
        <v>569</v>
      </c>
      <c r="E451" s="101" t="s">
        <v>522</v>
      </c>
      <c r="F451" s="102">
        <v>46361</v>
      </c>
      <c r="G451" s="101">
        <v>50</v>
      </c>
      <c r="H451" s="103">
        <v>-90902.57</v>
      </c>
      <c r="I451" s="101" t="s">
        <v>193</v>
      </c>
      <c r="J451" s="101" t="s">
        <v>789</v>
      </c>
      <c r="K451" s="101"/>
      <c r="L451" s="101"/>
      <c r="M451" s="101"/>
      <c r="N451" s="101">
        <v>1021</v>
      </c>
      <c r="O451" s="101"/>
      <c r="P451" s="101" t="s">
        <v>539</v>
      </c>
      <c r="Q451" s="101" t="s">
        <v>947</v>
      </c>
      <c r="R451" s="101"/>
      <c r="S451" s="101"/>
      <c r="T451" s="101"/>
      <c r="U451" s="101"/>
      <c r="V451" s="101" t="s">
        <v>784</v>
      </c>
      <c r="W451" s="101">
        <v>4701504</v>
      </c>
      <c r="X451" t="e">
        <f t="shared" ref="X451:X514" si="7">VLOOKUP(L451,L:P,5,FALSE)</f>
        <v>#N/A</v>
      </c>
    </row>
    <row r="452" spans="1:24" hidden="1">
      <c r="A452" s="101"/>
      <c r="B452" s="101">
        <v>20260331</v>
      </c>
      <c r="C452" s="101">
        <v>100000417</v>
      </c>
      <c r="D452" s="101" t="s">
        <v>521</v>
      </c>
      <c r="E452" s="101" t="s">
        <v>718</v>
      </c>
      <c r="F452" s="101" t="s">
        <v>837</v>
      </c>
      <c r="G452" s="101">
        <v>50</v>
      </c>
      <c r="H452" s="103">
        <v>-12421218</v>
      </c>
      <c r="I452" s="101" t="s">
        <v>193</v>
      </c>
      <c r="J452" s="101"/>
      <c r="K452" s="101"/>
      <c r="L452" s="101" t="s">
        <v>948</v>
      </c>
      <c r="M452" s="101"/>
      <c r="N452" s="101">
        <v>1021</v>
      </c>
      <c r="O452" s="101"/>
      <c r="P452" s="101" t="s">
        <v>539</v>
      </c>
      <c r="Q452" s="101" t="s">
        <v>949</v>
      </c>
      <c r="R452" s="101"/>
      <c r="S452" s="101"/>
      <c r="T452" s="101"/>
      <c r="U452" s="101"/>
      <c r="V452" s="101" t="s">
        <v>40</v>
      </c>
      <c r="W452" s="101">
        <v>4701506</v>
      </c>
      <c r="X452" t="str">
        <f t="shared" si="7"/>
        <v>Others</v>
      </c>
    </row>
    <row r="453" spans="1:24" hidden="1">
      <c r="A453" s="101"/>
      <c r="B453" s="101">
        <v>20260402</v>
      </c>
      <c r="C453" s="101">
        <v>100000495</v>
      </c>
      <c r="D453" s="101" t="s">
        <v>521</v>
      </c>
      <c r="E453" s="101" t="s">
        <v>522</v>
      </c>
      <c r="F453" s="102">
        <v>46057</v>
      </c>
      <c r="G453" s="101">
        <v>40</v>
      </c>
      <c r="H453" s="103">
        <v>2400692.31</v>
      </c>
      <c r="I453" s="101" t="s">
        <v>193</v>
      </c>
      <c r="J453" s="101"/>
      <c r="K453" s="101"/>
      <c r="L453" s="101" t="s">
        <v>477</v>
      </c>
      <c r="M453" s="101"/>
      <c r="N453" s="101">
        <v>1021</v>
      </c>
      <c r="O453" s="101"/>
      <c r="P453" s="101" t="s">
        <v>523</v>
      </c>
      <c r="Q453" s="101" t="s">
        <v>950</v>
      </c>
      <c r="R453" s="101"/>
      <c r="S453" s="101"/>
      <c r="T453" s="101"/>
      <c r="U453" s="101"/>
      <c r="V453" s="101" t="s">
        <v>40</v>
      </c>
      <c r="W453" s="101">
        <v>4701506</v>
      </c>
      <c r="X453" t="str">
        <f t="shared" si="7"/>
        <v>Retirement Chgs</v>
      </c>
    </row>
    <row r="454" spans="1:24" hidden="1">
      <c r="A454" s="101"/>
      <c r="B454" s="101">
        <v>20260413</v>
      </c>
      <c r="C454" s="101">
        <v>1500000872</v>
      </c>
      <c r="D454" s="101" t="s">
        <v>521</v>
      </c>
      <c r="E454" s="101" t="s">
        <v>605</v>
      </c>
      <c r="F454" s="101" t="s">
        <v>606</v>
      </c>
      <c r="G454" s="101">
        <v>40</v>
      </c>
      <c r="H454" s="103">
        <v>1857569.07</v>
      </c>
      <c r="I454" s="101" t="s">
        <v>193</v>
      </c>
      <c r="J454" s="101"/>
      <c r="K454" s="101"/>
      <c r="L454" s="101" t="s">
        <v>494</v>
      </c>
      <c r="M454" s="101"/>
      <c r="N454" s="101">
        <v>1021</v>
      </c>
      <c r="O454" s="101"/>
      <c r="P454" s="101" t="s">
        <v>523</v>
      </c>
      <c r="Q454" s="101" t="s">
        <v>951</v>
      </c>
      <c r="R454" s="101"/>
      <c r="S454" s="101"/>
      <c r="T454" s="101"/>
      <c r="U454" s="101"/>
      <c r="V454" s="101" t="s">
        <v>40</v>
      </c>
      <c r="W454" s="101">
        <v>4701506</v>
      </c>
      <c r="X454" t="str">
        <f t="shared" si="7"/>
        <v>Retirement Chgs</v>
      </c>
    </row>
    <row r="455" spans="1:24" hidden="1">
      <c r="A455" s="101"/>
      <c r="B455" s="101">
        <v>20260413</v>
      </c>
      <c r="C455" s="101">
        <v>1900000642</v>
      </c>
      <c r="D455" s="101" t="s">
        <v>521</v>
      </c>
      <c r="E455" s="101" t="s">
        <v>535</v>
      </c>
      <c r="F455" s="101" t="s">
        <v>606</v>
      </c>
      <c r="G455" s="101">
        <v>40</v>
      </c>
      <c r="H455" s="103">
        <v>1323545.1499999999</v>
      </c>
      <c r="I455" s="101" t="s">
        <v>193</v>
      </c>
      <c r="J455" s="101"/>
      <c r="K455" s="101"/>
      <c r="L455" s="101" t="s">
        <v>411</v>
      </c>
      <c r="M455" s="101"/>
      <c r="N455" s="101">
        <v>1021</v>
      </c>
      <c r="O455" s="101"/>
      <c r="P455" s="101" t="s">
        <v>597</v>
      </c>
      <c r="Q455" s="101" t="s">
        <v>952</v>
      </c>
      <c r="R455" s="101"/>
      <c r="S455" s="101"/>
      <c r="T455" s="101"/>
      <c r="U455" s="101"/>
      <c r="V455" s="101" t="s">
        <v>40</v>
      </c>
      <c r="W455" s="101">
        <v>4701506</v>
      </c>
      <c r="X455" t="str">
        <f t="shared" si="7"/>
        <v>Retirement Chgs</v>
      </c>
    </row>
    <row r="456" spans="1:24" hidden="1">
      <c r="A456" s="101"/>
      <c r="B456" s="101">
        <v>20260413</v>
      </c>
      <c r="C456" s="101">
        <v>1900000643</v>
      </c>
      <c r="D456" s="101" t="s">
        <v>521</v>
      </c>
      <c r="E456" s="101" t="s">
        <v>535</v>
      </c>
      <c r="F456" s="101" t="s">
        <v>606</v>
      </c>
      <c r="G456" s="101">
        <v>40</v>
      </c>
      <c r="H456" s="103">
        <v>398866.4</v>
      </c>
      <c r="I456" s="101" t="s">
        <v>193</v>
      </c>
      <c r="J456" s="101"/>
      <c r="K456" s="101"/>
      <c r="L456" s="101" t="s">
        <v>412</v>
      </c>
      <c r="M456" s="101"/>
      <c r="N456" s="101">
        <v>1021</v>
      </c>
      <c r="O456" s="101"/>
      <c r="P456" s="101" t="s">
        <v>597</v>
      </c>
      <c r="Q456" s="101" t="s">
        <v>952</v>
      </c>
      <c r="R456" s="101"/>
      <c r="S456" s="101"/>
      <c r="T456" s="101"/>
      <c r="U456" s="101"/>
      <c r="V456" s="101" t="s">
        <v>40</v>
      </c>
      <c r="W456" s="101">
        <v>4701506</v>
      </c>
      <c r="X456" t="str">
        <f t="shared" si="7"/>
        <v>Retirement Chgs</v>
      </c>
    </row>
    <row r="457" spans="1:24" hidden="1">
      <c r="A457" s="101"/>
      <c r="B457" s="101">
        <v>20260416</v>
      </c>
      <c r="C457" s="101">
        <v>1900000070</v>
      </c>
      <c r="D457" s="101" t="s">
        <v>521</v>
      </c>
      <c r="E457" s="101" t="s">
        <v>535</v>
      </c>
      <c r="F457" s="101" t="s">
        <v>953</v>
      </c>
      <c r="G457" s="101">
        <v>40</v>
      </c>
      <c r="H457" s="106">
        <v>27682.2</v>
      </c>
      <c r="I457" s="101" t="s">
        <v>193</v>
      </c>
      <c r="J457" s="101">
        <v>13</v>
      </c>
      <c r="K457" s="101"/>
      <c r="L457" s="101" t="s">
        <v>954</v>
      </c>
      <c r="M457" s="101"/>
      <c r="N457" s="101">
        <v>1022</v>
      </c>
      <c r="O457" s="101"/>
      <c r="P457" s="101" t="s">
        <v>955</v>
      </c>
      <c r="Q457" s="101" t="s">
        <v>956</v>
      </c>
      <c r="R457" s="101">
        <v>102901</v>
      </c>
      <c r="S457" s="101"/>
      <c r="T457" s="101"/>
      <c r="U457" s="101"/>
      <c r="V457" s="101" t="s">
        <v>40</v>
      </c>
      <c r="W457" s="101">
        <v>4701506</v>
      </c>
      <c r="X457" t="str">
        <f t="shared" si="7"/>
        <v>BOE</v>
      </c>
    </row>
    <row r="458" spans="1:24" hidden="1">
      <c r="A458" s="101"/>
      <c r="B458" s="101">
        <v>20260430</v>
      </c>
      <c r="C458" s="101">
        <v>100000416</v>
      </c>
      <c r="D458" s="101" t="s">
        <v>521</v>
      </c>
      <c r="E458" s="101" t="s">
        <v>522</v>
      </c>
      <c r="F458" s="101" t="s">
        <v>764</v>
      </c>
      <c r="G458" s="101">
        <v>40</v>
      </c>
      <c r="H458" s="103">
        <v>16384314</v>
      </c>
      <c r="I458" s="101" t="s">
        <v>193</v>
      </c>
      <c r="J458" s="101"/>
      <c r="K458" s="101"/>
      <c r="L458" s="101" t="s">
        <v>948</v>
      </c>
      <c r="M458" s="101"/>
      <c r="N458" s="101">
        <v>1021</v>
      </c>
      <c r="O458" s="101"/>
      <c r="P458" s="101" t="s">
        <v>957</v>
      </c>
      <c r="Q458" s="101" t="s">
        <v>958</v>
      </c>
      <c r="R458" s="101"/>
      <c r="S458" s="101"/>
      <c r="T458" s="101"/>
      <c r="U458" s="101"/>
      <c r="V458" s="101" t="s">
        <v>40</v>
      </c>
      <c r="W458" s="101">
        <v>4701506</v>
      </c>
      <c r="X458" t="str">
        <f t="shared" si="7"/>
        <v>Others</v>
      </c>
    </row>
    <row r="459" spans="1:24" hidden="1">
      <c r="A459" s="101"/>
      <c r="B459" s="101">
        <v>20260430</v>
      </c>
      <c r="C459" s="101">
        <v>1900000363</v>
      </c>
      <c r="D459" s="101" t="s">
        <v>521</v>
      </c>
      <c r="E459" s="101" t="s">
        <v>535</v>
      </c>
      <c r="F459" s="102">
        <v>46026</v>
      </c>
      <c r="G459" s="101">
        <v>40</v>
      </c>
      <c r="H459" s="106">
        <v>11721.19</v>
      </c>
      <c r="I459" s="101" t="s">
        <v>193</v>
      </c>
      <c r="J459" s="101">
        <v>13</v>
      </c>
      <c r="K459" s="101"/>
      <c r="L459" s="101" t="s">
        <v>959</v>
      </c>
      <c r="M459" s="101"/>
      <c r="N459" s="101">
        <v>1022</v>
      </c>
      <c r="O459" s="101"/>
      <c r="P459" s="101" t="s">
        <v>955</v>
      </c>
      <c r="Q459" s="101" t="s">
        <v>960</v>
      </c>
      <c r="R459" s="101">
        <v>103010</v>
      </c>
      <c r="S459" s="101"/>
      <c r="T459" s="101"/>
      <c r="U459" s="101"/>
      <c r="V459" s="101" t="s">
        <v>40</v>
      </c>
      <c r="W459" s="101">
        <v>4701506</v>
      </c>
      <c r="X459" t="str">
        <f t="shared" si="7"/>
        <v>BOE</v>
      </c>
    </row>
    <row r="460" spans="1:24" hidden="1">
      <c r="A460" s="101"/>
      <c r="B460" s="101">
        <v>20260430</v>
      </c>
      <c r="C460" s="101">
        <v>1900000364</v>
      </c>
      <c r="D460" s="101" t="s">
        <v>521</v>
      </c>
      <c r="E460" s="101" t="s">
        <v>535</v>
      </c>
      <c r="F460" s="102">
        <v>46026</v>
      </c>
      <c r="G460" s="101">
        <v>40</v>
      </c>
      <c r="H460" s="106">
        <v>11119.49</v>
      </c>
      <c r="I460" s="101" t="s">
        <v>193</v>
      </c>
      <c r="J460" s="101">
        <v>13</v>
      </c>
      <c r="K460" s="101"/>
      <c r="L460" s="101" t="s">
        <v>961</v>
      </c>
      <c r="M460" s="101"/>
      <c r="N460" s="101">
        <v>1022</v>
      </c>
      <c r="O460" s="101"/>
      <c r="P460" s="101" t="s">
        <v>955</v>
      </c>
      <c r="Q460" s="101" t="s">
        <v>962</v>
      </c>
      <c r="R460" s="101">
        <v>103011</v>
      </c>
      <c r="S460" s="101"/>
      <c r="T460" s="101"/>
      <c r="U460" s="101"/>
      <c r="V460" s="101" t="s">
        <v>40</v>
      </c>
      <c r="W460" s="101">
        <v>4701506</v>
      </c>
      <c r="X460" t="str">
        <f t="shared" si="7"/>
        <v>BOE</v>
      </c>
    </row>
    <row r="461" spans="1:24" hidden="1">
      <c r="A461" s="101"/>
      <c r="B461" s="101" t="s">
        <v>963</v>
      </c>
      <c r="C461" s="101">
        <v>1500000871</v>
      </c>
      <c r="D461" s="101" t="s">
        <v>521</v>
      </c>
      <c r="E461" s="101" t="s">
        <v>605</v>
      </c>
      <c r="F461" s="101" t="s">
        <v>606</v>
      </c>
      <c r="G461" s="101">
        <v>40</v>
      </c>
      <c r="H461" s="103">
        <v>362014.16</v>
      </c>
      <c r="I461" s="101" t="s">
        <v>193</v>
      </c>
      <c r="J461" s="101"/>
      <c r="K461" s="101"/>
      <c r="L461" s="101" t="s">
        <v>490</v>
      </c>
      <c r="M461" s="101"/>
      <c r="N461" s="101">
        <v>1021</v>
      </c>
      <c r="O461" s="101"/>
      <c r="P461" s="101" t="s">
        <v>523</v>
      </c>
      <c r="Q461" s="101" t="s">
        <v>951</v>
      </c>
      <c r="R461" s="101"/>
      <c r="S461" s="101"/>
      <c r="T461" s="101"/>
      <c r="U461" s="101"/>
      <c r="V461" s="101" t="s">
        <v>40</v>
      </c>
      <c r="W461" s="101">
        <v>4701506</v>
      </c>
      <c r="X461" t="str">
        <f t="shared" si="7"/>
        <v>Retirement Chgs</v>
      </c>
    </row>
    <row r="462" spans="1:24" hidden="1">
      <c r="A462" s="101"/>
      <c r="B462" s="101">
        <v>20260401</v>
      </c>
      <c r="C462" s="101">
        <v>100000201</v>
      </c>
      <c r="D462" s="101" t="s">
        <v>521</v>
      </c>
      <c r="E462" s="101" t="s">
        <v>522</v>
      </c>
      <c r="F462" s="101" t="s">
        <v>964</v>
      </c>
      <c r="G462" s="101">
        <v>40</v>
      </c>
      <c r="H462" s="103">
        <v>50779</v>
      </c>
      <c r="I462" s="101" t="s">
        <v>193</v>
      </c>
      <c r="J462" s="101"/>
      <c r="K462" s="101"/>
      <c r="L462" s="101" t="s">
        <v>965</v>
      </c>
      <c r="M462" s="101"/>
      <c r="N462" s="101">
        <v>1021</v>
      </c>
      <c r="O462" s="101"/>
      <c r="P462" s="101" t="s">
        <v>651</v>
      </c>
      <c r="Q462" s="101" t="s">
        <v>966</v>
      </c>
      <c r="R462" s="101"/>
      <c r="S462" s="101"/>
      <c r="T462" s="101"/>
      <c r="U462" s="101"/>
      <c r="V462" s="101" t="s">
        <v>40</v>
      </c>
      <c r="W462" s="101">
        <v>4701508</v>
      </c>
      <c r="X462" t="str">
        <f t="shared" si="7"/>
        <v>LC</v>
      </c>
    </row>
    <row r="463" spans="1:24" hidden="1">
      <c r="A463" s="101"/>
      <c r="B463" s="101">
        <v>20260401</v>
      </c>
      <c r="C463" s="101">
        <v>100000203</v>
      </c>
      <c r="D463" s="101" t="s">
        <v>521</v>
      </c>
      <c r="E463" s="101" t="s">
        <v>718</v>
      </c>
      <c r="F463" s="101" t="s">
        <v>964</v>
      </c>
      <c r="G463" s="101">
        <v>50</v>
      </c>
      <c r="H463" s="103">
        <v>-50779</v>
      </c>
      <c r="I463" s="101" t="s">
        <v>193</v>
      </c>
      <c r="J463" s="101"/>
      <c r="K463" s="101"/>
      <c r="L463" s="101" t="s">
        <v>965</v>
      </c>
      <c r="M463" s="101"/>
      <c r="N463" s="101">
        <v>1021</v>
      </c>
      <c r="O463" s="101"/>
      <c r="P463" s="101" t="s">
        <v>651</v>
      </c>
      <c r="Q463" s="101" t="s">
        <v>966</v>
      </c>
      <c r="R463" s="101"/>
      <c r="S463" s="101"/>
      <c r="T463" s="101"/>
      <c r="U463" s="101"/>
      <c r="V463" s="101" t="s">
        <v>40</v>
      </c>
      <c r="W463" s="101">
        <v>4701508</v>
      </c>
      <c r="X463" t="str">
        <f t="shared" si="7"/>
        <v>LC</v>
      </c>
    </row>
    <row r="464" spans="1:24" hidden="1">
      <c r="A464" s="101"/>
      <c r="B464" s="101">
        <v>20260402</v>
      </c>
      <c r="C464" s="101">
        <v>100000170</v>
      </c>
      <c r="D464" s="101" t="s">
        <v>521</v>
      </c>
      <c r="E464" s="101" t="s">
        <v>522</v>
      </c>
      <c r="F464" s="102">
        <v>46057</v>
      </c>
      <c r="G464" s="101">
        <v>40</v>
      </c>
      <c r="H464" s="103">
        <v>6762.03</v>
      </c>
      <c r="I464" s="101" t="s">
        <v>193</v>
      </c>
      <c r="J464" s="101"/>
      <c r="K464" s="101"/>
      <c r="L464" s="101" t="s">
        <v>452</v>
      </c>
      <c r="M464" s="101"/>
      <c r="N464" s="101">
        <v>1021</v>
      </c>
      <c r="O464" s="101"/>
      <c r="P464" s="101" t="s">
        <v>399</v>
      </c>
      <c r="Q464" s="101" t="s">
        <v>967</v>
      </c>
      <c r="R464" s="101"/>
      <c r="S464" s="101"/>
      <c r="T464" s="101"/>
      <c r="U464" s="101"/>
      <c r="V464" s="101" t="s">
        <v>40</v>
      </c>
      <c r="W464" s="101">
        <v>4701508</v>
      </c>
      <c r="X464" t="str">
        <f t="shared" si="7"/>
        <v>Penal Interest</v>
      </c>
    </row>
    <row r="465" spans="1:24" hidden="1">
      <c r="A465" s="101"/>
      <c r="B465" s="101">
        <v>20260402</v>
      </c>
      <c r="C465" s="101">
        <v>100000172</v>
      </c>
      <c r="D465" s="101" t="s">
        <v>521</v>
      </c>
      <c r="E465" s="101" t="s">
        <v>522</v>
      </c>
      <c r="F465" s="102">
        <v>46057</v>
      </c>
      <c r="G465" s="101">
        <v>40</v>
      </c>
      <c r="H465" s="103">
        <v>6746.76</v>
      </c>
      <c r="I465" s="101" t="s">
        <v>193</v>
      </c>
      <c r="J465" s="101"/>
      <c r="K465" s="101"/>
      <c r="L465" s="101" t="s">
        <v>252</v>
      </c>
      <c r="M465" s="101"/>
      <c r="N465" s="101">
        <v>1021</v>
      </c>
      <c r="O465" s="101"/>
      <c r="P465" s="101" t="s">
        <v>399</v>
      </c>
      <c r="Q465" s="101" t="s">
        <v>968</v>
      </c>
      <c r="R465" s="101"/>
      <c r="S465" s="101"/>
      <c r="T465" s="101"/>
      <c r="U465" s="101"/>
      <c r="V465" s="101" t="s">
        <v>40</v>
      </c>
      <c r="W465" s="101">
        <v>4701508</v>
      </c>
      <c r="X465" t="str">
        <f t="shared" si="7"/>
        <v>Retirement Chgs</v>
      </c>
    </row>
    <row r="466" spans="1:24" hidden="1">
      <c r="A466" s="101"/>
      <c r="B466" s="101">
        <v>20260402</v>
      </c>
      <c r="C466" s="101">
        <v>100000173</v>
      </c>
      <c r="D466" s="101" t="s">
        <v>521</v>
      </c>
      <c r="E466" s="101" t="s">
        <v>522</v>
      </c>
      <c r="F466" s="102">
        <v>46057</v>
      </c>
      <c r="G466" s="101">
        <v>40</v>
      </c>
      <c r="H466" s="103">
        <v>2863.35</v>
      </c>
      <c r="I466" s="101" t="s">
        <v>193</v>
      </c>
      <c r="J466" s="101"/>
      <c r="K466" s="101"/>
      <c r="L466" s="101" t="s">
        <v>242</v>
      </c>
      <c r="M466" s="101"/>
      <c r="N466" s="101">
        <v>1021</v>
      </c>
      <c r="O466" s="101"/>
      <c r="P466" s="101" t="s">
        <v>399</v>
      </c>
      <c r="Q466" s="101" t="s">
        <v>969</v>
      </c>
      <c r="R466" s="101"/>
      <c r="S466" s="101"/>
      <c r="T466" s="101"/>
      <c r="U466" s="101"/>
      <c r="V466" s="101" t="s">
        <v>40</v>
      </c>
      <c r="W466" s="101">
        <v>4701508</v>
      </c>
      <c r="X466" t="str">
        <f t="shared" si="7"/>
        <v>Retirement Chgs</v>
      </c>
    </row>
    <row r="467" spans="1:24" hidden="1">
      <c r="A467" s="101"/>
      <c r="B467" s="101">
        <v>20260402</v>
      </c>
      <c r="C467" s="101">
        <v>100000174</v>
      </c>
      <c r="D467" s="101" t="s">
        <v>521</v>
      </c>
      <c r="E467" s="101" t="s">
        <v>522</v>
      </c>
      <c r="F467" s="102">
        <v>46057</v>
      </c>
      <c r="G467" s="101">
        <v>40</v>
      </c>
      <c r="H467" s="103">
        <v>7185.18</v>
      </c>
      <c r="I467" s="101" t="s">
        <v>193</v>
      </c>
      <c r="J467" s="101"/>
      <c r="K467" s="101"/>
      <c r="L467" s="101" t="s">
        <v>239</v>
      </c>
      <c r="M467" s="101"/>
      <c r="N467" s="101">
        <v>1021</v>
      </c>
      <c r="O467" s="101"/>
      <c r="P467" s="101" t="s">
        <v>399</v>
      </c>
      <c r="Q467" s="101" t="s">
        <v>970</v>
      </c>
      <c r="R467" s="101"/>
      <c r="S467" s="101"/>
      <c r="T467" s="101"/>
      <c r="U467" s="101"/>
      <c r="V467" s="101" t="s">
        <v>40</v>
      </c>
      <c r="W467" s="101">
        <v>4701508</v>
      </c>
      <c r="X467" t="str">
        <f t="shared" si="7"/>
        <v>Retirement Chgs</v>
      </c>
    </row>
    <row r="468" spans="1:24" hidden="1">
      <c r="A468" s="101"/>
      <c r="B468" s="101">
        <v>20260402</v>
      </c>
      <c r="C468" s="101">
        <v>100000175</v>
      </c>
      <c r="D468" s="101" t="s">
        <v>521</v>
      </c>
      <c r="E468" s="101" t="s">
        <v>522</v>
      </c>
      <c r="F468" s="102">
        <v>46057</v>
      </c>
      <c r="G468" s="101">
        <v>40</v>
      </c>
      <c r="H468" s="103">
        <v>20979.65</v>
      </c>
      <c r="I468" s="101" t="s">
        <v>193</v>
      </c>
      <c r="J468" s="101"/>
      <c r="K468" s="101"/>
      <c r="L468" s="101" t="s">
        <v>243</v>
      </c>
      <c r="M468" s="101"/>
      <c r="N468" s="101">
        <v>1021</v>
      </c>
      <c r="O468" s="101"/>
      <c r="P468" s="101" t="s">
        <v>399</v>
      </c>
      <c r="Q468" s="101" t="s">
        <v>971</v>
      </c>
      <c r="R468" s="101"/>
      <c r="S468" s="101"/>
      <c r="T468" s="101"/>
      <c r="U468" s="101"/>
      <c r="V468" s="101" t="s">
        <v>40</v>
      </c>
      <c r="W468" s="101">
        <v>4701508</v>
      </c>
      <c r="X468" t="str">
        <f t="shared" si="7"/>
        <v>Retirement Chgs</v>
      </c>
    </row>
    <row r="469" spans="1:24" hidden="1">
      <c r="A469" s="101"/>
      <c r="B469" s="101">
        <v>20260402</v>
      </c>
      <c r="C469" s="101">
        <v>100000176</v>
      </c>
      <c r="D469" s="101" t="s">
        <v>521</v>
      </c>
      <c r="E469" s="101" t="s">
        <v>522</v>
      </c>
      <c r="F469" s="102">
        <v>46057</v>
      </c>
      <c r="G469" s="101">
        <v>40</v>
      </c>
      <c r="H469" s="103">
        <v>9688.2000000000007</v>
      </c>
      <c r="I469" s="101" t="s">
        <v>193</v>
      </c>
      <c r="J469" s="101"/>
      <c r="K469" s="101"/>
      <c r="L469" s="101" t="s">
        <v>240</v>
      </c>
      <c r="M469" s="101"/>
      <c r="N469" s="101">
        <v>1021</v>
      </c>
      <c r="O469" s="101"/>
      <c r="P469" s="101" t="s">
        <v>399</v>
      </c>
      <c r="Q469" s="101" t="s">
        <v>972</v>
      </c>
      <c r="R469" s="101"/>
      <c r="S469" s="101"/>
      <c r="T469" s="101"/>
      <c r="U469" s="101"/>
      <c r="V469" s="101" t="s">
        <v>40</v>
      </c>
      <c r="W469" s="101">
        <v>4701508</v>
      </c>
      <c r="X469" t="str">
        <f t="shared" si="7"/>
        <v>Retirement Chgs</v>
      </c>
    </row>
    <row r="470" spans="1:24" hidden="1">
      <c r="A470" s="101"/>
      <c r="B470" s="101">
        <v>20260402</v>
      </c>
      <c r="C470" s="101">
        <v>100000177</v>
      </c>
      <c r="D470" s="101" t="s">
        <v>521</v>
      </c>
      <c r="E470" s="101" t="s">
        <v>522</v>
      </c>
      <c r="F470" s="102">
        <v>46057</v>
      </c>
      <c r="G470" s="101">
        <v>40</v>
      </c>
      <c r="H470" s="103">
        <v>3516.45</v>
      </c>
      <c r="I470" s="101" t="s">
        <v>193</v>
      </c>
      <c r="J470" s="101"/>
      <c r="K470" s="101"/>
      <c r="L470" s="101" t="s">
        <v>241</v>
      </c>
      <c r="M470" s="101"/>
      <c r="N470" s="101">
        <v>1021</v>
      </c>
      <c r="O470" s="101"/>
      <c r="P470" s="101" t="s">
        <v>399</v>
      </c>
      <c r="Q470" s="101" t="s">
        <v>973</v>
      </c>
      <c r="R470" s="101"/>
      <c r="S470" s="101"/>
      <c r="T470" s="101"/>
      <c r="U470" s="101"/>
      <c r="V470" s="101" t="s">
        <v>40</v>
      </c>
      <c r="W470" s="101">
        <v>4701508</v>
      </c>
      <c r="X470" t="str">
        <f t="shared" si="7"/>
        <v>Retirement Chgs</v>
      </c>
    </row>
    <row r="471" spans="1:24" hidden="1">
      <c r="A471" s="101"/>
      <c r="B471" s="101">
        <v>20260402</v>
      </c>
      <c r="C471" s="101">
        <v>100000194</v>
      </c>
      <c r="D471" s="101" t="s">
        <v>521</v>
      </c>
      <c r="E471" s="101" t="s">
        <v>522</v>
      </c>
      <c r="F471" s="102">
        <v>46057</v>
      </c>
      <c r="G471" s="101">
        <v>40</v>
      </c>
      <c r="H471" s="103">
        <v>6762.03</v>
      </c>
      <c r="I471" s="101" t="s">
        <v>193</v>
      </c>
      <c r="J471" s="101"/>
      <c r="K471" s="101"/>
      <c r="L471" s="101" t="s">
        <v>452</v>
      </c>
      <c r="M471" s="101"/>
      <c r="N471" s="101">
        <v>1021</v>
      </c>
      <c r="O471" s="101"/>
      <c r="P471" s="101" t="s">
        <v>974</v>
      </c>
      <c r="Q471" s="101" t="s">
        <v>975</v>
      </c>
      <c r="R471" s="101"/>
      <c r="S471" s="101"/>
      <c r="T471" s="101"/>
      <c r="U471" s="101"/>
      <c r="V471" s="101" t="s">
        <v>40</v>
      </c>
      <c r="W471" s="101">
        <v>4701508</v>
      </c>
      <c r="X471" t="str">
        <f t="shared" si="7"/>
        <v>Penal Interest</v>
      </c>
    </row>
    <row r="472" spans="1:24" hidden="1">
      <c r="A472" s="101"/>
      <c r="B472" s="101">
        <v>20260402</v>
      </c>
      <c r="C472" s="101">
        <v>1900000162</v>
      </c>
      <c r="D472" s="101" t="s">
        <v>521</v>
      </c>
      <c r="E472" s="101" t="s">
        <v>535</v>
      </c>
      <c r="F472" s="102">
        <v>46057</v>
      </c>
      <c r="G472" s="101">
        <v>40</v>
      </c>
      <c r="H472" s="103">
        <v>137791.85999999999</v>
      </c>
      <c r="I472" s="101" t="s">
        <v>193</v>
      </c>
      <c r="J472" s="101"/>
      <c r="K472" s="101"/>
      <c r="L472" s="101" t="s">
        <v>99</v>
      </c>
      <c r="M472" s="101"/>
      <c r="N472" s="101">
        <v>1021</v>
      </c>
      <c r="O472" s="101"/>
      <c r="P472" s="101" t="s">
        <v>608</v>
      </c>
      <c r="Q472" s="101" t="s">
        <v>976</v>
      </c>
      <c r="R472" s="101"/>
      <c r="S472" s="101"/>
      <c r="T472" s="101"/>
      <c r="U472" s="101"/>
      <c r="V472" s="101" t="s">
        <v>40</v>
      </c>
      <c r="W472" s="101">
        <v>4701508</v>
      </c>
      <c r="X472" t="str">
        <f t="shared" si="7"/>
        <v>LC Sales</v>
      </c>
    </row>
    <row r="473" spans="1:24" hidden="1">
      <c r="A473" s="101"/>
      <c r="B473" s="101">
        <v>20260406</v>
      </c>
      <c r="C473" s="101">
        <v>1900000392</v>
      </c>
      <c r="D473" s="101" t="s">
        <v>521</v>
      </c>
      <c r="E473" s="101" t="s">
        <v>535</v>
      </c>
      <c r="F473" s="102">
        <v>46177</v>
      </c>
      <c r="G473" s="101">
        <v>40</v>
      </c>
      <c r="H473" s="103">
        <v>351388.21</v>
      </c>
      <c r="I473" s="101" t="s">
        <v>193</v>
      </c>
      <c r="J473" s="101"/>
      <c r="K473" s="101"/>
      <c r="L473" s="101" t="s">
        <v>93</v>
      </c>
      <c r="M473" s="101"/>
      <c r="N473" s="101">
        <v>1021</v>
      </c>
      <c r="O473" s="101"/>
      <c r="P473" s="101" t="s">
        <v>608</v>
      </c>
      <c r="Q473" s="101" t="s">
        <v>977</v>
      </c>
      <c r="R473" s="101"/>
      <c r="S473" s="101"/>
      <c r="T473" s="101"/>
      <c r="U473" s="101"/>
      <c r="V473" s="101" t="s">
        <v>40</v>
      </c>
      <c r="W473" s="101">
        <v>4701508</v>
      </c>
      <c r="X473" t="str">
        <f t="shared" si="7"/>
        <v>LC Sales</v>
      </c>
    </row>
    <row r="474" spans="1:24" hidden="1">
      <c r="A474" s="101"/>
      <c r="B474" s="101">
        <v>20260408</v>
      </c>
      <c r="C474" s="101">
        <v>100000548</v>
      </c>
      <c r="D474" s="101" t="s">
        <v>521</v>
      </c>
      <c r="E474" s="101" t="s">
        <v>522</v>
      </c>
      <c r="F474" s="102">
        <v>46238</v>
      </c>
      <c r="G474" s="101">
        <v>50</v>
      </c>
      <c r="H474" s="103">
        <v>-41645.14</v>
      </c>
      <c r="I474" s="101" t="s">
        <v>193</v>
      </c>
      <c r="J474" s="101"/>
      <c r="K474" s="101"/>
      <c r="L474" s="101" t="s">
        <v>247</v>
      </c>
      <c r="M474" s="101"/>
      <c r="N474" s="101">
        <v>1021</v>
      </c>
      <c r="O474" s="101"/>
      <c r="P474" s="101" t="s">
        <v>978</v>
      </c>
      <c r="Q474" s="101" t="s">
        <v>979</v>
      </c>
      <c r="R474" s="101"/>
      <c r="S474" s="101"/>
      <c r="T474" s="101"/>
      <c r="U474" s="101"/>
      <c r="V474" s="101" t="s">
        <v>40</v>
      </c>
      <c r="W474" s="101">
        <v>4701508</v>
      </c>
      <c r="X474" t="str">
        <f>VLOOKUP(L474,L:P,5,FALSE)</f>
        <v>Retirement Chgs</v>
      </c>
    </row>
    <row r="475" spans="1:24">
      <c r="A475" s="101"/>
      <c r="B475" s="101">
        <v>20260413</v>
      </c>
      <c r="C475" s="101">
        <v>100000307</v>
      </c>
      <c r="D475" s="101" t="s">
        <v>521</v>
      </c>
      <c r="E475" s="101" t="s">
        <v>522</v>
      </c>
      <c r="F475" s="101" t="s">
        <v>606</v>
      </c>
      <c r="G475" s="101">
        <v>40</v>
      </c>
      <c r="H475" s="103">
        <v>10245.700000000001</v>
      </c>
      <c r="I475" s="101" t="s">
        <v>193</v>
      </c>
      <c r="J475" s="101"/>
      <c r="K475" s="101"/>
      <c r="L475" s="101" t="s">
        <v>245</v>
      </c>
      <c r="M475" s="101"/>
      <c r="N475" s="101">
        <v>1021</v>
      </c>
      <c r="O475" s="101"/>
      <c r="P475" s="101" t="s">
        <v>980</v>
      </c>
      <c r="Q475" s="101" t="s">
        <v>981</v>
      </c>
      <c r="R475" s="101"/>
      <c r="S475" s="101"/>
      <c r="T475" s="101"/>
      <c r="U475" s="101"/>
      <c r="V475" s="101" t="s">
        <v>40</v>
      </c>
      <c r="W475" s="101">
        <v>4701508</v>
      </c>
      <c r="X475" t="str">
        <f t="shared" si="7"/>
        <v>lc retirement</v>
      </c>
    </row>
    <row r="476" spans="1:24" hidden="1">
      <c r="A476" s="101"/>
      <c r="B476" s="101">
        <v>20260413</v>
      </c>
      <c r="C476" s="101">
        <v>100000308</v>
      </c>
      <c r="D476" s="101" t="s">
        <v>521</v>
      </c>
      <c r="E476" s="101" t="s">
        <v>522</v>
      </c>
      <c r="F476" s="101" t="s">
        <v>606</v>
      </c>
      <c r="G476" s="101">
        <v>40</v>
      </c>
      <c r="H476" s="103">
        <v>3590.12</v>
      </c>
      <c r="I476" s="101" t="s">
        <v>193</v>
      </c>
      <c r="J476" s="101"/>
      <c r="K476" s="101"/>
      <c r="L476" s="101" t="s">
        <v>246</v>
      </c>
      <c r="M476" s="101"/>
      <c r="N476" s="101">
        <v>1021</v>
      </c>
      <c r="O476" s="101"/>
      <c r="P476" s="101" t="s">
        <v>980</v>
      </c>
      <c r="Q476" s="101" t="s">
        <v>981</v>
      </c>
      <c r="R476" s="101"/>
      <c r="S476" s="101"/>
      <c r="T476" s="101"/>
      <c r="U476" s="101"/>
      <c r="V476" s="101" t="s">
        <v>40</v>
      </c>
      <c r="W476" s="101">
        <v>4701508</v>
      </c>
      <c r="X476" t="str">
        <f t="shared" si="7"/>
        <v>Retirement Chgs</v>
      </c>
    </row>
    <row r="477" spans="1:24" hidden="1">
      <c r="A477" s="101"/>
      <c r="B477" s="101">
        <v>20260413</v>
      </c>
      <c r="C477" s="101">
        <v>1900000163</v>
      </c>
      <c r="D477" s="101" t="s">
        <v>521</v>
      </c>
      <c r="E477" s="101" t="s">
        <v>535</v>
      </c>
      <c r="F477" s="101" t="s">
        <v>606</v>
      </c>
      <c r="G477" s="101">
        <v>40</v>
      </c>
      <c r="H477" s="103">
        <v>12227.49</v>
      </c>
      <c r="I477" s="101" t="s">
        <v>193</v>
      </c>
      <c r="J477" s="101"/>
      <c r="K477" s="101"/>
      <c r="L477" s="101" t="s">
        <v>107</v>
      </c>
      <c r="M477" s="101"/>
      <c r="N477" s="101">
        <v>1021</v>
      </c>
      <c r="O477" s="101"/>
      <c r="P477" s="101" t="s">
        <v>608</v>
      </c>
      <c r="Q477" s="101" t="s">
        <v>982</v>
      </c>
      <c r="R477" s="101"/>
      <c r="S477" s="101"/>
      <c r="T477" s="101"/>
      <c r="U477" s="101"/>
      <c r="V477" s="101" t="s">
        <v>40</v>
      </c>
      <c r="W477" s="101">
        <v>4701508</v>
      </c>
      <c r="X477" t="str">
        <f t="shared" si="7"/>
        <v>LC Sales</v>
      </c>
    </row>
    <row r="478" spans="1:24" hidden="1">
      <c r="A478" s="101"/>
      <c r="B478" s="101">
        <v>20260413</v>
      </c>
      <c r="C478" s="101">
        <v>1900000164</v>
      </c>
      <c r="D478" s="101" t="s">
        <v>521</v>
      </c>
      <c r="E478" s="101" t="s">
        <v>535</v>
      </c>
      <c r="F478" s="101" t="s">
        <v>606</v>
      </c>
      <c r="G478" s="101">
        <v>40</v>
      </c>
      <c r="H478" s="103">
        <v>12394.2</v>
      </c>
      <c r="I478" s="101" t="s">
        <v>193</v>
      </c>
      <c r="J478" s="101"/>
      <c r="K478" s="101"/>
      <c r="L478" s="101" t="s">
        <v>104</v>
      </c>
      <c r="M478" s="101"/>
      <c r="N478" s="101">
        <v>1021</v>
      </c>
      <c r="O478" s="101"/>
      <c r="P478" s="101" t="s">
        <v>608</v>
      </c>
      <c r="Q478" s="101" t="s">
        <v>983</v>
      </c>
      <c r="R478" s="101"/>
      <c r="S478" s="101"/>
      <c r="T478" s="101"/>
      <c r="U478" s="101"/>
      <c r="V478" s="101" t="s">
        <v>40</v>
      </c>
      <c r="W478" s="101">
        <v>4701508</v>
      </c>
      <c r="X478" t="str">
        <f t="shared" si="7"/>
        <v>LC Sales</v>
      </c>
    </row>
    <row r="479" spans="1:24" hidden="1">
      <c r="A479" s="101"/>
      <c r="B479" s="101">
        <v>20260416</v>
      </c>
      <c r="C479" s="101">
        <v>100000306</v>
      </c>
      <c r="D479" s="101" t="s">
        <v>521</v>
      </c>
      <c r="E479" s="101" t="s">
        <v>522</v>
      </c>
      <c r="F479" s="101" t="s">
        <v>530</v>
      </c>
      <c r="G479" s="101">
        <v>40</v>
      </c>
      <c r="H479" s="103">
        <v>1763.73</v>
      </c>
      <c r="I479" s="101" t="s">
        <v>193</v>
      </c>
      <c r="J479" s="101"/>
      <c r="K479" s="101"/>
      <c r="L479" s="101" t="s">
        <v>248</v>
      </c>
      <c r="M479" s="101"/>
      <c r="N479" s="101">
        <v>1021</v>
      </c>
      <c r="O479" s="101"/>
      <c r="P479" s="101" t="s">
        <v>399</v>
      </c>
      <c r="Q479" s="101" t="s">
        <v>984</v>
      </c>
      <c r="R479" s="101"/>
      <c r="S479" s="101"/>
      <c r="T479" s="101"/>
      <c r="U479" s="101"/>
      <c r="V479" s="101" t="s">
        <v>40</v>
      </c>
      <c r="W479" s="101">
        <v>4701508</v>
      </c>
      <c r="X479" t="str">
        <f t="shared" si="7"/>
        <v>Retirement Chgs</v>
      </c>
    </row>
    <row r="480" spans="1:24" hidden="1">
      <c r="A480" s="101"/>
      <c r="B480" s="101">
        <v>20260416</v>
      </c>
      <c r="C480" s="101">
        <v>1500000262</v>
      </c>
      <c r="D480" s="101" t="s">
        <v>521</v>
      </c>
      <c r="E480" s="101" t="s">
        <v>605</v>
      </c>
      <c r="F480" s="101" t="s">
        <v>530</v>
      </c>
      <c r="G480" s="101">
        <v>40</v>
      </c>
      <c r="H480" s="103">
        <v>122853.74</v>
      </c>
      <c r="I480" s="101" t="s">
        <v>193</v>
      </c>
      <c r="J480" s="101"/>
      <c r="K480" s="101"/>
      <c r="L480" s="101" t="s">
        <v>194</v>
      </c>
      <c r="M480" s="101"/>
      <c r="N480" s="101">
        <v>1021</v>
      </c>
      <c r="O480" s="101"/>
      <c r="P480" s="101" t="s">
        <v>608</v>
      </c>
      <c r="Q480" s="101" t="s">
        <v>985</v>
      </c>
      <c r="R480" s="101"/>
      <c r="S480" s="101"/>
      <c r="T480" s="101"/>
      <c r="U480" s="101"/>
      <c r="V480" s="101" t="s">
        <v>40</v>
      </c>
      <c r="W480" s="101">
        <v>4701508</v>
      </c>
      <c r="X480" t="str">
        <f t="shared" si="7"/>
        <v>LC Sales</v>
      </c>
    </row>
    <row r="481" spans="1:24" hidden="1">
      <c r="A481" s="101"/>
      <c r="B481" s="101">
        <v>20260416</v>
      </c>
      <c r="C481" s="101">
        <v>1500000265</v>
      </c>
      <c r="D481" s="101" t="s">
        <v>521</v>
      </c>
      <c r="E481" s="101" t="s">
        <v>605</v>
      </c>
      <c r="F481" s="101" t="s">
        <v>530</v>
      </c>
      <c r="G481" s="101">
        <v>40</v>
      </c>
      <c r="H481" s="103">
        <v>120927.03</v>
      </c>
      <c r="I481" s="101" t="s">
        <v>193</v>
      </c>
      <c r="J481" s="101"/>
      <c r="K481" s="101"/>
      <c r="L481" s="101" t="s">
        <v>192</v>
      </c>
      <c r="M481" s="101"/>
      <c r="N481" s="101">
        <v>1021</v>
      </c>
      <c r="O481" s="101"/>
      <c r="P481" s="101" t="s">
        <v>608</v>
      </c>
      <c r="Q481" s="101" t="s">
        <v>986</v>
      </c>
      <c r="R481" s="101"/>
      <c r="S481" s="101"/>
      <c r="T481" s="101"/>
      <c r="U481" s="101"/>
      <c r="V481" s="101" t="s">
        <v>40</v>
      </c>
      <c r="W481" s="101">
        <v>4701508</v>
      </c>
      <c r="X481" t="str">
        <f t="shared" si="7"/>
        <v>LC Sales</v>
      </c>
    </row>
    <row r="482" spans="1:24" hidden="1">
      <c r="A482" s="101"/>
      <c r="B482" s="101">
        <v>20260416</v>
      </c>
      <c r="C482" s="101">
        <v>1700000057</v>
      </c>
      <c r="D482" s="101" t="s">
        <v>521</v>
      </c>
      <c r="E482" s="101" t="s">
        <v>561</v>
      </c>
      <c r="F482" s="101" t="s">
        <v>530</v>
      </c>
      <c r="G482" s="101">
        <v>50</v>
      </c>
      <c r="H482" s="103">
        <v>-122853.74</v>
      </c>
      <c r="I482" s="101" t="s">
        <v>193</v>
      </c>
      <c r="J482" s="101"/>
      <c r="K482" s="101"/>
      <c r="L482" s="101" t="s">
        <v>194</v>
      </c>
      <c r="M482" s="101"/>
      <c r="N482" s="101">
        <v>1021</v>
      </c>
      <c r="O482" s="101"/>
      <c r="P482" s="101" t="s">
        <v>608</v>
      </c>
      <c r="Q482" s="101" t="s">
        <v>985</v>
      </c>
      <c r="R482" s="101"/>
      <c r="S482" s="101"/>
      <c r="T482" s="101"/>
      <c r="U482" s="101"/>
      <c r="V482" s="101" t="s">
        <v>40</v>
      </c>
      <c r="W482" s="101">
        <v>4701508</v>
      </c>
      <c r="X482" t="str">
        <f t="shared" si="7"/>
        <v>LC Sales</v>
      </c>
    </row>
    <row r="483" spans="1:24" hidden="1">
      <c r="A483" s="101"/>
      <c r="B483" s="101">
        <v>20260416</v>
      </c>
      <c r="C483" s="101">
        <v>1700000061</v>
      </c>
      <c r="D483" s="101" t="s">
        <v>521</v>
      </c>
      <c r="E483" s="101" t="s">
        <v>561</v>
      </c>
      <c r="F483" s="101" t="s">
        <v>530</v>
      </c>
      <c r="G483" s="101">
        <v>50</v>
      </c>
      <c r="H483" s="103">
        <v>-120927.03</v>
      </c>
      <c r="I483" s="101" t="s">
        <v>193</v>
      </c>
      <c r="J483" s="101"/>
      <c r="K483" s="101"/>
      <c r="L483" s="101" t="s">
        <v>192</v>
      </c>
      <c r="M483" s="101"/>
      <c r="N483" s="101">
        <v>1021</v>
      </c>
      <c r="O483" s="101"/>
      <c r="P483" s="101" t="s">
        <v>608</v>
      </c>
      <c r="Q483" s="101" t="s">
        <v>987</v>
      </c>
      <c r="R483" s="101"/>
      <c r="S483" s="101"/>
      <c r="T483" s="101"/>
      <c r="U483" s="101"/>
      <c r="V483" s="101" t="s">
        <v>40</v>
      </c>
      <c r="W483" s="101">
        <v>4701508</v>
      </c>
      <c r="X483" t="str">
        <f t="shared" si="7"/>
        <v>LC Sales</v>
      </c>
    </row>
    <row r="484" spans="1:24" hidden="1">
      <c r="A484" s="101"/>
      <c r="B484" s="101">
        <v>20260416</v>
      </c>
      <c r="C484" s="101">
        <v>1900000165</v>
      </c>
      <c r="D484" s="101" t="s">
        <v>521</v>
      </c>
      <c r="E484" s="101" t="s">
        <v>535</v>
      </c>
      <c r="F484" s="101" t="s">
        <v>530</v>
      </c>
      <c r="G484" s="101">
        <v>40</v>
      </c>
      <c r="H484" s="103">
        <v>63442.58</v>
      </c>
      <c r="I484" s="101" t="s">
        <v>193</v>
      </c>
      <c r="J484" s="101"/>
      <c r="K484" s="101"/>
      <c r="L484" s="101" t="s">
        <v>118</v>
      </c>
      <c r="M484" s="101"/>
      <c r="N484" s="101">
        <v>1021</v>
      </c>
      <c r="O484" s="101"/>
      <c r="P484" s="101" t="s">
        <v>608</v>
      </c>
      <c r="Q484" s="101" t="s">
        <v>988</v>
      </c>
      <c r="R484" s="101"/>
      <c r="S484" s="101"/>
      <c r="T484" s="101"/>
      <c r="U484" s="101"/>
      <c r="V484" s="101" t="s">
        <v>40</v>
      </c>
      <c r="W484" s="101">
        <v>4701508</v>
      </c>
      <c r="X484" t="str">
        <f t="shared" si="7"/>
        <v>LC Sales</v>
      </c>
    </row>
    <row r="485" spans="1:24" hidden="1">
      <c r="A485" s="101"/>
      <c r="B485" s="101">
        <v>20260416</v>
      </c>
      <c r="C485" s="101">
        <v>1900000166</v>
      </c>
      <c r="D485" s="101" t="s">
        <v>521</v>
      </c>
      <c r="E485" s="101" t="s">
        <v>535</v>
      </c>
      <c r="F485" s="101" t="s">
        <v>530</v>
      </c>
      <c r="G485" s="101">
        <v>40</v>
      </c>
      <c r="H485" s="103">
        <v>62907.5</v>
      </c>
      <c r="I485" s="101" t="s">
        <v>193</v>
      </c>
      <c r="J485" s="101"/>
      <c r="K485" s="101"/>
      <c r="L485" s="101" t="s">
        <v>115</v>
      </c>
      <c r="M485" s="101"/>
      <c r="N485" s="101">
        <v>1021</v>
      </c>
      <c r="O485" s="101"/>
      <c r="P485" s="101" t="s">
        <v>608</v>
      </c>
      <c r="Q485" s="101" t="s">
        <v>989</v>
      </c>
      <c r="R485" s="101"/>
      <c r="S485" s="101"/>
      <c r="T485" s="101"/>
      <c r="U485" s="101"/>
      <c r="V485" s="101" t="s">
        <v>40</v>
      </c>
      <c r="W485" s="101">
        <v>4701508</v>
      </c>
      <c r="X485" t="str">
        <f t="shared" si="7"/>
        <v>LC Sales</v>
      </c>
    </row>
    <row r="486" spans="1:24" hidden="1">
      <c r="A486" s="101"/>
      <c r="B486" s="101">
        <v>20260416</v>
      </c>
      <c r="C486" s="101">
        <v>1900000167</v>
      </c>
      <c r="D486" s="101" t="s">
        <v>521</v>
      </c>
      <c r="E486" s="101" t="s">
        <v>535</v>
      </c>
      <c r="F486" s="101" t="s">
        <v>530</v>
      </c>
      <c r="G486" s="101">
        <v>40</v>
      </c>
      <c r="H486" s="103">
        <v>161907.01999999999</v>
      </c>
      <c r="I486" s="101" t="s">
        <v>193</v>
      </c>
      <c r="J486" s="101"/>
      <c r="K486" s="101"/>
      <c r="L486" s="101" t="s">
        <v>112</v>
      </c>
      <c r="M486" s="101"/>
      <c r="N486" s="101">
        <v>1021</v>
      </c>
      <c r="O486" s="101"/>
      <c r="P486" s="101" t="s">
        <v>608</v>
      </c>
      <c r="Q486" s="101" t="s">
        <v>990</v>
      </c>
      <c r="R486" s="101"/>
      <c r="S486" s="101"/>
      <c r="T486" s="101"/>
      <c r="U486" s="101"/>
      <c r="V486" s="101" t="s">
        <v>40</v>
      </c>
      <c r="W486" s="101">
        <v>4701508</v>
      </c>
      <c r="X486" t="str">
        <f t="shared" si="7"/>
        <v>LC Sales</v>
      </c>
    </row>
    <row r="487" spans="1:24" hidden="1">
      <c r="A487" s="101"/>
      <c r="B487" s="101">
        <v>20260416</v>
      </c>
      <c r="C487" s="101">
        <v>1900000428</v>
      </c>
      <c r="D487" s="101" t="s">
        <v>521</v>
      </c>
      <c r="E487" s="101" t="s">
        <v>535</v>
      </c>
      <c r="F487" s="101" t="s">
        <v>530</v>
      </c>
      <c r="G487" s="101">
        <v>40</v>
      </c>
      <c r="H487" s="103">
        <v>122853.74</v>
      </c>
      <c r="I487" s="101" t="s">
        <v>193</v>
      </c>
      <c r="J487" s="101"/>
      <c r="K487" s="101"/>
      <c r="L487" s="101" t="s">
        <v>194</v>
      </c>
      <c r="M487" s="101"/>
      <c r="N487" s="101">
        <v>1021</v>
      </c>
      <c r="O487" s="101"/>
      <c r="P487" s="101" t="s">
        <v>608</v>
      </c>
      <c r="Q487" s="101" t="s">
        <v>985</v>
      </c>
      <c r="R487" s="101"/>
      <c r="S487" s="101"/>
      <c r="T487" s="101"/>
      <c r="U487" s="101"/>
      <c r="V487" s="101" t="s">
        <v>40</v>
      </c>
      <c r="W487" s="101">
        <v>4701508</v>
      </c>
      <c r="X487" t="str">
        <f t="shared" si="7"/>
        <v>LC Sales</v>
      </c>
    </row>
    <row r="488" spans="1:24" hidden="1">
      <c r="A488" s="101"/>
      <c r="B488" s="101">
        <v>20260416</v>
      </c>
      <c r="C488" s="101">
        <v>1900000434</v>
      </c>
      <c r="D488" s="101" t="s">
        <v>521</v>
      </c>
      <c r="E488" s="101" t="s">
        <v>535</v>
      </c>
      <c r="F488" s="101" t="s">
        <v>530</v>
      </c>
      <c r="G488" s="101">
        <v>40</v>
      </c>
      <c r="H488" s="103">
        <v>120927.03</v>
      </c>
      <c r="I488" s="101" t="s">
        <v>193</v>
      </c>
      <c r="J488" s="101"/>
      <c r="K488" s="101"/>
      <c r="L488" s="101" t="s">
        <v>192</v>
      </c>
      <c r="M488" s="101"/>
      <c r="N488" s="101">
        <v>1021</v>
      </c>
      <c r="O488" s="101"/>
      <c r="P488" s="101" t="s">
        <v>608</v>
      </c>
      <c r="Q488" s="101" t="s">
        <v>987</v>
      </c>
      <c r="R488" s="101"/>
      <c r="S488" s="101"/>
      <c r="T488" s="101"/>
      <c r="U488" s="101"/>
      <c r="V488" s="101" t="s">
        <v>40</v>
      </c>
      <c r="W488" s="101">
        <v>4701508</v>
      </c>
      <c r="X488" t="str">
        <f t="shared" si="7"/>
        <v>LC Sales</v>
      </c>
    </row>
    <row r="489" spans="1:24" hidden="1">
      <c r="A489" s="101"/>
      <c r="B489" s="101">
        <v>20260416</v>
      </c>
      <c r="C489" s="101">
        <v>1900000638</v>
      </c>
      <c r="D489" s="101" t="s">
        <v>521</v>
      </c>
      <c r="E489" s="101" t="s">
        <v>535</v>
      </c>
      <c r="F489" s="101" t="s">
        <v>530</v>
      </c>
      <c r="G489" s="101">
        <v>40</v>
      </c>
      <c r="H489" s="103">
        <v>363525.25</v>
      </c>
      <c r="I489" s="101" t="s">
        <v>193</v>
      </c>
      <c r="J489" s="101"/>
      <c r="K489" s="101"/>
      <c r="L489" s="101" t="s">
        <v>130</v>
      </c>
      <c r="M489" s="101"/>
      <c r="N489" s="101">
        <v>1021</v>
      </c>
      <c r="O489" s="101"/>
      <c r="P489" s="101" t="s">
        <v>608</v>
      </c>
      <c r="Q489" s="101" t="s">
        <v>991</v>
      </c>
      <c r="R489" s="101"/>
      <c r="S489" s="101"/>
      <c r="T489" s="101"/>
      <c r="U489" s="101"/>
      <c r="V489" s="101" t="s">
        <v>40</v>
      </c>
      <c r="W489" s="101">
        <v>4701508</v>
      </c>
      <c r="X489" t="str">
        <f t="shared" si="7"/>
        <v>LC Sales</v>
      </c>
    </row>
    <row r="490" spans="1:24" hidden="1">
      <c r="A490" s="101"/>
      <c r="B490" s="101">
        <v>20260416</v>
      </c>
      <c r="C490" s="101">
        <v>1900000639</v>
      </c>
      <c r="D490" s="101" t="s">
        <v>521</v>
      </c>
      <c r="E490" s="101" t="s">
        <v>535</v>
      </c>
      <c r="F490" s="101" t="s">
        <v>530</v>
      </c>
      <c r="G490" s="101">
        <v>40</v>
      </c>
      <c r="H490" s="103">
        <v>111316.22</v>
      </c>
      <c r="I490" s="101" t="s">
        <v>193</v>
      </c>
      <c r="J490" s="101"/>
      <c r="K490" s="101"/>
      <c r="L490" s="101" t="s">
        <v>122</v>
      </c>
      <c r="M490" s="101"/>
      <c r="N490" s="101">
        <v>1021</v>
      </c>
      <c r="O490" s="101"/>
      <c r="P490" s="101" t="s">
        <v>608</v>
      </c>
      <c r="Q490" s="101" t="s">
        <v>992</v>
      </c>
      <c r="R490" s="101"/>
      <c r="S490" s="101"/>
      <c r="T490" s="101"/>
      <c r="U490" s="101"/>
      <c r="V490" s="101" t="s">
        <v>40</v>
      </c>
      <c r="W490" s="101">
        <v>4701508</v>
      </c>
      <c r="X490" t="str">
        <f t="shared" si="7"/>
        <v>LC Sales</v>
      </c>
    </row>
    <row r="491" spans="1:24" hidden="1">
      <c r="A491" s="101"/>
      <c r="B491" s="101">
        <v>20260416</v>
      </c>
      <c r="C491" s="101">
        <v>1900000640</v>
      </c>
      <c r="D491" s="101" t="s">
        <v>521</v>
      </c>
      <c r="E491" s="101" t="s">
        <v>535</v>
      </c>
      <c r="F491" s="101" t="s">
        <v>530</v>
      </c>
      <c r="G491" s="101">
        <v>40</v>
      </c>
      <c r="H491" s="103">
        <v>69961.31</v>
      </c>
      <c r="I491" s="101" t="s">
        <v>193</v>
      </c>
      <c r="J491" s="101"/>
      <c r="K491" s="101"/>
      <c r="L491" s="101" t="s">
        <v>126</v>
      </c>
      <c r="M491" s="101"/>
      <c r="N491" s="101">
        <v>1021</v>
      </c>
      <c r="O491" s="101"/>
      <c r="P491" s="101" t="s">
        <v>608</v>
      </c>
      <c r="Q491" s="101" t="s">
        <v>993</v>
      </c>
      <c r="R491" s="101"/>
      <c r="S491" s="101"/>
      <c r="T491" s="101"/>
      <c r="U491" s="101"/>
      <c r="V491" s="101" t="s">
        <v>40</v>
      </c>
      <c r="W491" s="101">
        <v>4701508</v>
      </c>
      <c r="X491" t="str">
        <f t="shared" si="7"/>
        <v>LC Sales</v>
      </c>
    </row>
    <row r="492" spans="1:24" hidden="1">
      <c r="A492" s="101"/>
      <c r="B492" s="101">
        <v>20260417</v>
      </c>
      <c r="C492" s="101">
        <v>100000545</v>
      </c>
      <c r="D492" s="101" t="s">
        <v>521</v>
      </c>
      <c r="E492" s="101" t="s">
        <v>522</v>
      </c>
      <c r="F492" s="101" t="s">
        <v>658</v>
      </c>
      <c r="G492" s="101">
        <v>40</v>
      </c>
      <c r="H492" s="103">
        <v>12141.61</v>
      </c>
      <c r="I492" s="101" t="s">
        <v>193</v>
      </c>
      <c r="J492" s="101"/>
      <c r="K492" s="101"/>
      <c r="L492" s="101" t="s">
        <v>258</v>
      </c>
      <c r="M492" s="101"/>
      <c r="N492" s="101">
        <v>1021</v>
      </c>
      <c r="O492" s="101"/>
      <c r="P492" s="101" t="s">
        <v>608</v>
      </c>
      <c r="Q492" s="101" t="s">
        <v>994</v>
      </c>
      <c r="R492" s="101"/>
      <c r="S492" s="101"/>
      <c r="T492" s="101"/>
      <c r="U492" s="101"/>
      <c r="V492" s="101" t="s">
        <v>40</v>
      </c>
      <c r="W492" s="101">
        <v>4701508</v>
      </c>
      <c r="X492" t="str">
        <f t="shared" si="7"/>
        <v>LC Sales</v>
      </c>
    </row>
    <row r="493" spans="1:24" hidden="1">
      <c r="A493" s="101"/>
      <c r="B493" s="101">
        <v>20260417</v>
      </c>
      <c r="C493" s="101">
        <v>100000546</v>
      </c>
      <c r="D493" s="101" t="s">
        <v>521</v>
      </c>
      <c r="E493" s="101" t="s">
        <v>718</v>
      </c>
      <c r="F493" s="101" t="s">
        <v>658</v>
      </c>
      <c r="G493" s="101">
        <v>50</v>
      </c>
      <c r="H493" s="103">
        <v>-12141.61</v>
      </c>
      <c r="I493" s="101" t="s">
        <v>193</v>
      </c>
      <c r="J493" s="101"/>
      <c r="K493" s="101"/>
      <c r="L493" s="101" t="s">
        <v>258</v>
      </c>
      <c r="M493" s="101"/>
      <c r="N493" s="101">
        <v>1021</v>
      </c>
      <c r="O493" s="101"/>
      <c r="P493" s="101" t="s">
        <v>608</v>
      </c>
      <c r="Q493" s="101" t="s">
        <v>994</v>
      </c>
      <c r="R493" s="101"/>
      <c r="S493" s="101"/>
      <c r="T493" s="101"/>
      <c r="U493" s="101"/>
      <c r="V493" s="101" t="s">
        <v>40</v>
      </c>
      <c r="W493" s="101">
        <v>4701508</v>
      </c>
      <c r="X493" t="str">
        <f t="shared" si="7"/>
        <v>LC Sales</v>
      </c>
    </row>
    <row r="494" spans="1:24" hidden="1">
      <c r="A494" s="101"/>
      <c r="B494" s="101">
        <v>20260417</v>
      </c>
      <c r="C494" s="101">
        <v>100000547</v>
      </c>
      <c r="D494" s="101" t="s">
        <v>521</v>
      </c>
      <c r="E494" s="101" t="s">
        <v>522</v>
      </c>
      <c r="F494" s="101" t="s">
        <v>658</v>
      </c>
      <c r="G494" s="101">
        <v>50</v>
      </c>
      <c r="H494" s="103">
        <v>-12141.61</v>
      </c>
      <c r="I494" s="101" t="s">
        <v>193</v>
      </c>
      <c r="J494" s="101"/>
      <c r="K494" s="101"/>
      <c r="L494" s="101" t="s">
        <v>258</v>
      </c>
      <c r="M494" s="101"/>
      <c r="N494" s="101">
        <v>1021</v>
      </c>
      <c r="O494" s="101"/>
      <c r="P494" s="101" t="s">
        <v>978</v>
      </c>
      <c r="Q494" s="101" t="s">
        <v>995</v>
      </c>
      <c r="R494" s="101"/>
      <c r="S494" s="101"/>
      <c r="T494" s="101"/>
      <c r="U494" s="101"/>
      <c r="V494" s="101" t="s">
        <v>40</v>
      </c>
      <c r="W494" s="101">
        <v>4701508</v>
      </c>
      <c r="X494" t="str">
        <f t="shared" si="7"/>
        <v>LC Sales</v>
      </c>
    </row>
    <row r="495" spans="1:24" hidden="1">
      <c r="A495" s="101"/>
      <c r="B495" s="101">
        <v>20260417</v>
      </c>
      <c r="C495" s="101">
        <v>1900000636</v>
      </c>
      <c r="D495" s="101" t="s">
        <v>521</v>
      </c>
      <c r="E495" s="101" t="s">
        <v>535</v>
      </c>
      <c r="F495" s="101" t="s">
        <v>658</v>
      </c>
      <c r="G495" s="101">
        <v>40</v>
      </c>
      <c r="H495" s="103">
        <v>68695.259999999995</v>
      </c>
      <c r="I495" s="101" t="s">
        <v>193</v>
      </c>
      <c r="J495" s="101"/>
      <c r="K495" s="101"/>
      <c r="L495" s="101" t="s">
        <v>185</v>
      </c>
      <c r="M495" s="101"/>
      <c r="N495" s="101">
        <v>1021</v>
      </c>
      <c r="O495" s="101"/>
      <c r="P495" s="101" t="s">
        <v>666</v>
      </c>
      <c r="Q495" s="101" t="s">
        <v>996</v>
      </c>
      <c r="R495" s="101"/>
      <c r="S495" s="101"/>
      <c r="T495" s="101"/>
      <c r="U495" s="101"/>
      <c r="V495" s="101" t="s">
        <v>40</v>
      </c>
      <c r="W495" s="101">
        <v>4701508</v>
      </c>
      <c r="X495" t="str">
        <f t="shared" si="7"/>
        <v>sales</v>
      </c>
    </row>
    <row r="496" spans="1:24" hidden="1">
      <c r="A496" s="101"/>
      <c r="B496" s="101">
        <v>20260417</v>
      </c>
      <c r="C496" s="101">
        <v>1900000637</v>
      </c>
      <c r="D496" s="101" t="s">
        <v>521</v>
      </c>
      <c r="E496" s="101" t="s">
        <v>535</v>
      </c>
      <c r="F496" s="101" t="s">
        <v>658</v>
      </c>
      <c r="G496" s="101">
        <v>40</v>
      </c>
      <c r="H496" s="103">
        <v>40537.5</v>
      </c>
      <c r="I496" s="101" t="s">
        <v>193</v>
      </c>
      <c r="J496" s="101"/>
      <c r="K496" s="101"/>
      <c r="L496" s="101" t="s">
        <v>186</v>
      </c>
      <c r="M496" s="101"/>
      <c r="N496" s="101">
        <v>1021</v>
      </c>
      <c r="O496" s="101"/>
      <c r="P496" s="101" t="s">
        <v>523</v>
      </c>
      <c r="Q496" s="101" t="s">
        <v>997</v>
      </c>
      <c r="R496" s="101"/>
      <c r="S496" s="101"/>
      <c r="T496" s="101"/>
      <c r="U496" s="101"/>
      <c r="V496" s="101" t="s">
        <v>40</v>
      </c>
      <c r="W496" s="101">
        <v>4701508</v>
      </c>
      <c r="X496" t="str">
        <f t="shared" si="7"/>
        <v>Retirement Chgs</v>
      </c>
    </row>
    <row r="497" spans="1:24" hidden="1">
      <c r="A497" s="101"/>
      <c r="B497" s="101">
        <v>20260418</v>
      </c>
      <c r="C497" s="101">
        <v>100000309</v>
      </c>
      <c r="D497" s="101" t="s">
        <v>521</v>
      </c>
      <c r="E497" s="101" t="s">
        <v>522</v>
      </c>
      <c r="F497" s="101" t="s">
        <v>672</v>
      </c>
      <c r="G497" s="101">
        <v>40</v>
      </c>
      <c r="H497" s="101">
        <v>220.26</v>
      </c>
      <c r="I497" s="101" t="s">
        <v>193</v>
      </c>
      <c r="J497" s="101"/>
      <c r="K497" s="101"/>
      <c r="L497" s="101" t="s">
        <v>107</v>
      </c>
      <c r="M497" s="101"/>
      <c r="N497" s="101">
        <v>1021</v>
      </c>
      <c r="O497" s="101"/>
      <c r="P497" s="101" t="s">
        <v>536</v>
      </c>
      <c r="Q497" s="101" t="s">
        <v>981</v>
      </c>
      <c r="R497" s="101"/>
      <c r="S497" s="101"/>
      <c r="T497" s="101"/>
      <c r="U497" s="101"/>
      <c r="V497" s="101" t="s">
        <v>40</v>
      </c>
      <c r="W497" s="101">
        <v>4701508</v>
      </c>
      <c r="X497" t="str">
        <f t="shared" si="7"/>
        <v>LC Sales</v>
      </c>
    </row>
    <row r="498" spans="1:24" hidden="1">
      <c r="A498" s="101"/>
      <c r="B498" s="101">
        <v>20260418</v>
      </c>
      <c r="C498" s="101">
        <v>100000310</v>
      </c>
      <c r="D498" s="101" t="s">
        <v>521</v>
      </c>
      <c r="E498" s="101" t="s">
        <v>522</v>
      </c>
      <c r="F498" s="101" t="s">
        <v>672</v>
      </c>
      <c r="G498" s="101">
        <v>40</v>
      </c>
      <c r="H498" s="101">
        <v>704.6</v>
      </c>
      <c r="I498" s="101" t="s">
        <v>193</v>
      </c>
      <c r="J498" s="101"/>
      <c r="K498" s="101"/>
      <c r="L498" s="101" t="s">
        <v>104</v>
      </c>
      <c r="M498" s="101"/>
      <c r="N498" s="101">
        <v>1021</v>
      </c>
      <c r="O498" s="101"/>
      <c r="P498" s="101" t="s">
        <v>536</v>
      </c>
      <c r="Q498" s="101" t="s">
        <v>981</v>
      </c>
      <c r="R498" s="101"/>
      <c r="S498" s="101"/>
      <c r="T498" s="101"/>
      <c r="U498" s="101"/>
      <c r="V498" s="101" t="s">
        <v>40</v>
      </c>
      <c r="W498" s="101">
        <v>4701508</v>
      </c>
      <c r="X498" t="str">
        <f t="shared" si="7"/>
        <v>LC Sales</v>
      </c>
    </row>
    <row r="499" spans="1:24" hidden="1">
      <c r="A499" s="101"/>
      <c r="B499" s="101">
        <v>20260420</v>
      </c>
      <c r="C499" s="101">
        <v>100000430</v>
      </c>
      <c r="D499" s="101" t="s">
        <v>521</v>
      </c>
      <c r="E499" s="101" t="s">
        <v>522</v>
      </c>
      <c r="F499" s="101" t="s">
        <v>675</v>
      </c>
      <c r="G499" s="101">
        <v>40</v>
      </c>
      <c r="H499" s="103">
        <v>72275.11</v>
      </c>
      <c r="I499" s="101" t="s">
        <v>193</v>
      </c>
      <c r="J499" s="101"/>
      <c r="K499" s="101"/>
      <c r="L499" s="101" t="s">
        <v>134</v>
      </c>
      <c r="M499" s="101"/>
      <c r="N499" s="101">
        <v>1021</v>
      </c>
      <c r="O499" s="101"/>
      <c r="P499" s="101" t="s">
        <v>608</v>
      </c>
      <c r="Q499" s="101" t="s">
        <v>998</v>
      </c>
      <c r="R499" s="101"/>
      <c r="S499" s="101"/>
      <c r="T499" s="101"/>
      <c r="U499" s="101"/>
      <c r="V499" s="101" t="s">
        <v>40</v>
      </c>
      <c r="W499" s="101">
        <v>4701508</v>
      </c>
      <c r="X499" t="str">
        <f t="shared" si="7"/>
        <v>LC Sales</v>
      </c>
    </row>
    <row r="500" spans="1:24" hidden="1">
      <c r="A500" s="101"/>
      <c r="B500" s="101">
        <v>20260420</v>
      </c>
      <c r="C500" s="101">
        <v>100000432</v>
      </c>
      <c r="D500" s="101" t="s">
        <v>521</v>
      </c>
      <c r="E500" s="101" t="s">
        <v>522</v>
      </c>
      <c r="F500" s="101" t="s">
        <v>675</v>
      </c>
      <c r="G500" s="101">
        <v>40</v>
      </c>
      <c r="H500" s="103">
        <v>118552.18</v>
      </c>
      <c r="I500" s="101" t="s">
        <v>193</v>
      </c>
      <c r="J500" s="101"/>
      <c r="K500" s="101"/>
      <c r="L500" s="101" t="s">
        <v>138</v>
      </c>
      <c r="M500" s="101"/>
      <c r="N500" s="101">
        <v>1021</v>
      </c>
      <c r="O500" s="101"/>
      <c r="P500" s="101" t="s">
        <v>608</v>
      </c>
      <c r="Q500" s="101" t="s">
        <v>999</v>
      </c>
      <c r="R500" s="101"/>
      <c r="S500" s="101"/>
      <c r="T500" s="101"/>
      <c r="U500" s="101"/>
      <c r="V500" s="101" t="s">
        <v>40</v>
      </c>
      <c r="W500" s="101">
        <v>4701508</v>
      </c>
      <c r="X500" t="str">
        <f t="shared" si="7"/>
        <v>LC Sales</v>
      </c>
    </row>
    <row r="501" spans="1:24" hidden="1">
      <c r="A501" s="101"/>
      <c r="B501" s="101">
        <v>20260420</v>
      </c>
      <c r="C501" s="101">
        <v>100000433</v>
      </c>
      <c r="D501" s="101" t="s">
        <v>521</v>
      </c>
      <c r="E501" s="101" t="s">
        <v>522</v>
      </c>
      <c r="F501" s="101" t="s">
        <v>675</v>
      </c>
      <c r="G501" s="101">
        <v>40</v>
      </c>
      <c r="H501" s="103">
        <v>107315.76</v>
      </c>
      <c r="I501" s="101" t="s">
        <v>193</v>
      </c>
      <c r="J501" s="101"/>
      <c r="K501" s="101"/>
      <c r="L501" s="101" t="s">
        <v>141</v>
      </c>
      <c r="M501" s="101"/>
      <c r="N501" s="101">
        <v>1021</v>
      </c>
      <c r="O501" s="101"/>
      <c r="P501" s="101" t="s">
        <v>608</v>
      </c>
      <c r="Q501" s="101" t="s">
        <v>1000</v>
      </c>
      <c r="R501" s="101"/>
      <c r="S501" s="101"/>
      <c r="T501" s="101"/>
      <c r="U501" s="101"/>
      <c r="V501" s="101" t="s">
        <v>40</v>
      </c>
      <c r="W501" s="101">
        <v>4701508</v>
      </c>
      <c r="X501" t="str">
        <f t="shared" si="7"/>
        <v>LC Sales</v>
      </c>
    </row>
    <row r="502" spans="1:24" hidden="1">
      <c r="A502" s="101"/>
      <c r="B502" s="101">
        <v>20260420</v>
      </c>
      <c r="C502" s="101">
        <v>100000435</v>
      </c>
      <c r="D502" s="101" t="s">
        <v>521</v>
      </c>
      <c r="E502" s="101" t="s">
        <v>522</v>
      </c>
      <c r="F502" s="101" t="s">
        <v>675</v>
      </c>
      <c r="G502" s="101">
        <v>40</v>
      </c>
      <c r="H502" s="103">
        <v>57003.93</v>
      </c>
      <c r="I502" s="101" t="s">
        <v>193</v>
      </c>
      <c r="J502" s="101"/>
      <c r="K502" s="101"/>
      <c r="L502" s="101" t="s">
        <v>143</v>
      </c>
      <c r="M502" s="101"/>
      <c r="N502" s="101">
        <v>1021</v>
      </c>
      <c r="O502" s="101"/>
      <c r="P502" s="101" t="s">
        <v>608</v>
      </c>
      <c r="Q502" s="101" t="s">
        <v>1001</v>
      </c>
      <c r="R502" s="101"/>
      <c r="S502" s="101"/>
      <c r="T502" s="101"/>
      <c r="U502" s="101"/>
      <c r="V502" s="101" t="s">
        <v>40</v>
      </c>
      <c r="W502" s="101">
        <v>4701508</v>
      </c>
      <c r="X502" t="str">
        <f t="shared" si="7"/>
        <v>LC Sales</v>
      </c>
    </row>
    <row r="503" spans="1:24" hidden="1">
      <c r="A503" s="101"/>
      <c r="B503" s="101">
        <v>20260420</v>
      </c>
      <c r="C503" s="101">
        <v>100000542</v>
      </c>
      <c r="D503" s="101" t="s">
        <v>521</v>
      </c>
      <c r="E503" s="101" t="s">
        <v>522</v>
      </c>
      <c r="F503" s="101" t="s">
        <v>675</v>
      </c>
      <c r="G503" s="101">
        <v>40</v>
      </c>
      <c r="H503" s="103">
        <v>80776.39</v>
      </c>
      <c r="I503" s="101" t="s">
        <v>193</v>
      </c>
      <c r="J503" s="101"/>
      <c r="K503" s="101"/>
      <c r="L503" s="101" t="s">
        <v>188</v>
      </c>
      <c r="M503" s="101"/>
      <c r="N503" s="101">
        <v>1021</v>
      </c>
      <c r="O503" s="101"/>
      <c r="P503" s="101" t="s">
        <v>608</v>
      </c>
      <c r="Q503" s="101" t="s">
        <v>1002</v>
      </c>
      <c r="R503" s="101"/>
      <c r="S503" s="101"/>
      <c r="T503" s="101"/>
      <c r="U503" s="101"/>
      <c r="V503" s="101" t="s">
        <v>40</v>
      </c>
      <c r="W503" s="101">
        <v>4701508</v>
      </c>
      <c r="X503" t="str">
        <f t="shared" si="7"/>
        <v>LC Sales</v>
      </c>
    </row>
    <row r="504" spans="1:24" hidden="1">
      <c r="A504" s="101"/>
      <c r="B504" s="101">
        <v>20260420</v>
      </c>
      <c r="C504" s="101">
        <v>100000543</v>
      </c>
      <c r="D504" s="101" t="s">
        <v>521</v>
      </c>
      <c r="E504" s="101" t="s">
        <v>522</v>
      </c>
      <c r="F504" s="101" t="s">
        <v>675</v>
      </c>
      <c r="G504" s="101">
        <v>40</v>
      </c>
      <c r="H504" s="103">
        <v>10816.72</v>
      </c>
      <c r="I504" s="101" t="s">
        <v>193</v>
      </c>
      <c r="J504" s="101"/>
      <c r="K504" s="101"/>
      <c r="L504" s="101" t="s">
        <v>187</v>
      </c>
      <c r="M504" s="101"/>
      <c r="N504" s="101">
        <v>1021</v>
      </c>
      <c r="O504" s="101"/>
      <c r="P504" s="101" t="s">
        <v>608</v>
      </c>
      <c r="Q504" s="101" t="s">
        <v>1003</v>
      </c>
      <c r="R504" s="101"/>
      <c r="S504" s="101"/>
      <c r="T504" s="101"/>
      <c r="U504" s="101"/>
      <c r="V504" s="101" t="s">
        <v>40</v>
      </c>
      <c r="W504" s="101">
        <v>4701508</v>
      </c>
      <c r="X504" t="str">
        <f t="shared" si="7"/>
        <v>LC Sales</v>
      </c>
    </row>
    <row r="505" spans="1:24" hidden="1">
      <c r="A505" s="101"/>
      <c r="B505" s="101">
        <v>20260421</v>
      </c>
      <c r="C505" s="101">
        <v>100000436</v>
      </c>
      <c r="D505" s="101" t="s">
        <v>521</v>
      </c>
      <c r="E505" s="101" t="s">
        <v>522</v>
      </c>
      <c r="F505" s="101" t="s">
        <v>704</v>
      </c>
      <c r="G505" s="101">
        <v>40</v>
      </c>
      <c r="H505" s="103">
        <v>31556.14</v>
      </c>
      <c r="I505" s="101" t="s">
        <v>193</v>
      </c>
      <c r="J505" s="101"/>
      <c r="K505" s="101"/>
      <c r="L505" s="101" t="s">
        <v>152</v>
      </c>
      <c r="M505" s="101"/>
      <c r="N505" s="101">
        <v>1021</v>
      </c>
      <c r="O505" s="101"/>
      <c r="P505" s="101" t="s">
        <v>608</v>
      </c>
      <c r="Q505" s="101" t="s">
        <v>1004</v>
      </c>
      <c r="R505" s="101"/>
      <c r="S505" s="101"/>
      <c r="T505" s="101"/>
      <c r="U505" s="101"/>
      <c r="V505" s="101" t="s">
        <v>40</v>
      </c>
      <c r="W505" s="101">
        <v>4701508</v>
      </c>
      <c r="X505" t="str">
        <f t="shared" si="7"/>
        <v>LC Sales</v>
      </c>
    </row>
    <row r="506" spans="1:24" hidden="1">
      <c r="A506" s="101"/>
      <c r="B506" s="101">
        <v>20260421</v>
      </c>
      <c r="C506" s="101">
        <v>100000438</v>
      </c>
      <c r="D506" s="101" t="s">
        <v>521</v>
      </c>
      <c r="E506" s="101" t="s">
        <v>522</v>
      </c>
      <c r="F506" s="101" t="s">
        <v>704</v>
      </c>
      <c r="G506" s="101">
        <v>40</v>
      </c>
      <c r="H506" s="103">
        <v>55481.760000000002</v>
      </c>
      <c r="I506" s="101" t="s">
        <v>193</v>
      </c>
      <c r="J506" s="101"/>
      <c r="K506" s="101"/>
      <c r="L506" s="101" t="s">
        <v>146</v>
      </c>
      <c r="M506" s="101"/>
      <c r="N506" s="101">
        <v>1021</v>
      </c>
      <c r="O506" s="101"/>
      <c r="P506" s="101" t="s">
        <v>608</v>
      </c>
      <c r="Q506" s="101" t="s">
        <v>1005</v>
      </c>
      <c r="R506" s="101"/>
      <c r="S506" s="101"/>
      <c r="T506" s="101"/>
      <c r="U506" s="101"/>
      <c r="V506" s="101" t="s">
        <v>40</v>
      </c>
      <c r="W506" s="101">
        <v>4701508</v>
      </c>
      <c r="X506" t="str">
        <f t="shared" si="7"/>
        <v>LC Sales</v>
      </c>
    </row>
    <row r="507" spans="1:24" hidden="1">
      <c r="A507" s="101"/>
      <c r="B507" s="101">
        <v>20260421</v>
      </c>
      <c r="C507" s="101">
        <v>100000439</v>
      </c>
      <c r="D507" s="101" t="s">
        <v>521</v>
      </c>
      <c r="E507" s="101" t="s">
        <v>522</v>
      </c>
      <c r="F507" s="101" t="s">
        <v>704</v>
      </c>
      <c r="G507" s="101">
        <v>40</v>
      </c>
      <c r="H507" s="103">
        <v>114908.03</v>
      </c>
      <c r="I507" s="101" t="s">
        <v>193</v>
      </c>
      <c r="J507" s="101"/>
      <c r="K507" s="101"/>
      <c r="L507" s="101" t="s">
        <v>148</v>
      </c>
      <c r="M507" s="101"/>
      <c r="N507" s="101">
        <v>1021</v>
      </c>
      <c r="O507" s="101"/>
      <c r="P507" s="101" t="s">
        <v>608</v>
      </c>
      <c r="Q507" s="101" t="s">
        <v>1006</v>
      </c>
      <c r="R507" s="101"/>
      <c r="S507" s="101"/>
      <c r="T507" s="101"/>
      <c r="U507" s="101"/>
      <c r="V507" s="101" t="s">
        <v>40</v>
      </c>
      <c r="W507" s="101">
        <v>4701508</v>
      </c>
      <c r="X507" t="str">
        <f t="shared" si="7"/>
        <v>LC Sales</v>
      </c>
    </row>
    <row r="508" spans="1:24" hidden="1">
      <c r="A508" s="101"/>
      <c r="B508" s="101">
        <v>20260423</v>
      </c>
      <c r="C508" s="101">
        <v>100000572</v>
      </c>
      <c r="D508" s="101" t="s">
        <v>521</v>
      </c>
      <c r="E508" s="101" t="s">
        <v>522</v>
      </c>
      <c r="F508" s="101" t="s">
        <v>715</v>
      </c>
      <c r="G508" s="101">
        <v>40</v>
      </c>
      <c r="H508" s="101">
        <v>60.54</v>
      </c>
      <c r="I508" s="101" t="s">
        <v>193</v>
      </c>
      <c r="J508" s="101"/>
      <c r="K508" s="101"/>
      <c r="L508" s="101" t="s">
        <v>906</v>
      </c>
      <c r="M508" s="101"/>
      <c r="N508" s="101">
        <v>1021</v>
      </c>
      <c r="O508" s="101"/>
      <c r="P508" s="101" t="s">
        <v>399</v>
      </c>
      <c r="Q508" s="101" t="s">
        <v>1007</v>
      </c>
      <c r="R508" s="101"/>
      <c r="S508" s="101"/>
      <c r="T508" s="101"/>
      <c r="U508" s="101"/>
      <c r="V508" s="101" t="s">
        <v>40</v>
      </c>
      <c r="W508" s="101">
        <v>4701508</v>
      </c>
      <c r="X508" t="str">
        <f t="shared" si="7"/>
        <v>PCFC</v>
      </c>
    </row>
    <row r="509" spans="1:24" hidden="1">
      <c r="A509" s="101"/>
      <c r="B509" s="101">
        <v>20260424</v>
      </c>
      <c r="C509" s="101">
        <v>100000224</v>
      </c>
      <c r="D509" s="101" t="s">
        <v>521</v>
      </c>
      <c r="E509" s="101" t="s">
        <v>522</v>
      </c>
      <c r="F509" s="101" t="s">
        <v>733</v>
      </c>
      <c r="G509" s="101">
        <v>40</v>
      </c>
      <c r="H509" s="103">
        <v>3296.18</v>
      </c>
      <c r="I509" s="101" t="s">
        <v>193</v>
      </c>
      <c r="J509" s="101"/>
      <c r="K509" s="101"/>
      <c r="L509" s="101" t="s">
        <v>164</v>
      </c>
      <c r="M509" s="101"/>
      <c r="N509" s="101">
        <v>1021</v>
      </c>
      <c r="O509" s="101"/>
      <c r="P509" s="101" t="s">
        <v>608</v>
      </c>
      <c r="Q509" s="101" t="s">
        <v>1008</v>
      </c>
      <c r="R509" s="101"/>
      <c r="S509" s="101"/>
      <c r="T509" s="101"/>
      <c r="U509" s="101"/>
      <c r="V509" s="101" t="s">
        <v>40</v>
      </c>
      <c r="W509" s="101">
        <v>4701508</v>
      </c>
      <c r="X509" t="str">
        <f t="shared" si="7"/>
        <v>LC Sales</v>
      </c>
    </row>
    <row r="510" spans="1:24" hidden="1">
      <c r="A510" s="101"/>
      <c r="B510" s="101">
        <v>20260424</v>
      </c>
      <c r="C510" s="101">
        <v>100000312</v>
      </c>
      <c r="D510" s="101" t="s">
        <v>521</v>
      </c>
      <c r="E510" s="101" t="s">
        <v>522</v>
      </c>
      <c r="F510" s="101" t="s">
        <v>733</v>
      </c>
      <c r="G510" s="101">
        <v>40</v>
      </c>
      <c r="H510" s="101">
        <v>60.51</v>
      </c>
      <c r="I510" s="101" t="s">
        <v>193</v>
      </c>
      <c r="J510" s="101"/>
      <c r="K510" s="101"/>
      <c r="L510" s="101" t="s">
        <v>906</v>
      </c>
      <c r="M510" s="101"/>
      <c r="N510" s="101">
        <v>1021</v>
      </c>
      <c r="O510" s="101"/>
      <c r="P510" s="101" t="s">
        <v>399</v>
      </c>
      <c r="Q510" s="101" t="s">
        <v>1009</v>
      </c>
      <c r="R510" s="101"/>
      <c r="S510" s="101"/>
      <c r="T510" s="101"/>
      <c r="U510" s="101"/>
      <c r="V510" s="101" t="s">
        <v>40</v>
      </c>
      <c r="W510" s="101">
        <v>4701508</v>
      </c>
      <c r="X510" t="str">
        <f t="shared" si="7"/>
        <v>PCFC</v>
      </c>
    </row>
    <row r="511" spans="1:24" hidden="1">
      <c r="A511" s="101"/>
      <c r="B511" s="101">
        <v>20260424</v>
      </c>
      <c r="C511" s="101">
        <v>1900000276</v>
      </c>
      <c r="D511" s="101" t="s">
        <v>521</v>
      </c>
      <c r="E511" s="101" t="s">
        <v>535</v>
      </c>
      <c r="F511" s="101" t="s">
        <v>733</v>
      </c>
      <c r="G511" s="101">
        <v>40</v>
      </c>
      <c r="H511" s="103">
        <v>117138.6</v>
      </c>
      <c r="I511" s="101" t="s">
        <v>193</v>
      </c>
      <c r="J511" s="101"/>
      <c r="K511" s="101"/>
      <c r="L511" s="101" t="s">
        <v>164</v>
      </c>
      <c r="M511" s="101"/>
      <c r="N511" s="101">
        <v>1021</v>
      </c>
      <c r="O511" s="101"/>
      <c r="P511" s="101" t="s">
        <v>608</v>
      </c>
      <c r="Q511" s="101" t="s">
        <v>1010</v>
      </c>
      <c r="R511" s="101"/>
      <c r="S511" s="101"/>
      <c r="T511" s="101"/>
      <c r="U511" s="101"/>
      <c r="V511" s="101" t="s">
        <v>40</v>
      </c>
      <c r="W511" s="101">
        <v>4701508</v>
      </c>
      <c r="X511" t="str">
        <f t="shared" si="7"/>
        <v>LC Sales</v>
      </c>
    </row>
    <row r="512" spans="1:24" hidden="1">
      <c r="A512" s="101"/>
      <c r="B512" s="101">
        <v>20260424</v>
      </c>
      <c r="C512" s="101">
        <v>1900000277</v>
      </c>
      <c r="D512" s="101" t="s">
        <v>521</v>
      </c>
      <c r="E512" s="101" t="s">
        <v>535</v>
      </c>
      <c r="F512" s="101" t="s">
        <v>733</v>
      </c>
      <c r="G512" s="101">
        <v>40</v>
      </c>
      <c r="H512" s="103">
        <v>559181.21</v>
      </c>
      <c r="I512" s="101" t="s">
        <v>193</v>
      </c>
      <c r="J512" s="101"/>
      <c r="K512" s="101"/>
      <c r="L512" s="101" t="s">
        <v>167</v>
      </c>
      <c r="M512" s="101"/>
      <c r="N512" s="101">
        <v>1021</v>
      </c>
      <c r="O512" s="101"/>
      <c r="P512" s="101" t="s">
        <v>608</v>
      </c>
      <c r="Q512" s="101" t="s">
        <v>1011</v>
      </c>
      <c r="R512" s="101"/>
      <c r="S512" s="101"/>
      <c r="T512" s="101"/>
      <c r="U512" s="101"/>
      <c r="V512" s="101" t="s">
        <v>40</v>
      </c>
      <c r="W512" s="101">
        <v>4701508</v>
      </c>
      <c r="X512" t="str">
        <f t="shared" si="7"/>
        <v>LC Sales</v>
      </c>
    </row>
    <row r="513" spans="1:24" hidden="1">
      <c r="A513" s="101"/>
      <c r="B513" s="101">
        <v>20260424</v>
      </c>
      <c r="C513" s="101">
        <v>1900000278</v>
      </c>
      <c r="D513" s="101" t="s">
        <v>521</v>
      </c>
      <c r="E513" s="101" t="s">
        <v>535</v>
      </c>
      <c r="F513" s="101" t="s">
        <v>733</v>
      </c>
      <c r="G513" s="101">
        <v>40</v>
      </c>
      <c r="H513" s="103">
        <v>117992.04</v>
      </c>
      <c r="I513" s="101" t="s">
        <v>193</v>
      </c>
      <c r="J513" s="101"/>
      <c r="K513" s="101"/>
      <c r="L513" s="101" t="s">
        <v>170</v>
      </c>
      <c r="M513" s="101"/>
      <c r="N513" s="101">
        <v>1021</v>
      </c>
      <c r="O513" s="101"/>
      <c r="P513" s="101" t="s">
        <v>608</v>
      </c>
      <c r="Q513" s="101" t="s">
        <v>1012</v>
      </c>
      <c r="R513" s="101"/>
      <c r="S513" s="101"/>
      <c r="T513" s="101"/>
      <c r="U513" s="101"/>
      <c r="V513" s="101" t="s">
        <v>40</v>
      </c>
      <c r="W513" s="101">
        <v>4701508</v>
      </c>
      <c r="X513" t="str">
        <f t="shared" si="7"/>
        <v>LC Sales</v>
      </c>
    </row>
    <row r="514" spans="1:24" hidden="1">
      <c r="A514" s="101"/>
      <c r="B514" s="101">
        <v>20260424</v>
      </c>
      <c r="C514" s="101">
        <v>1900000279</v>
      </c>
      <c r="D514" s="101" t="s">
        <v>521</v>
      </c>
      <c r="E514" s="101" t="s">
        <v>535</v>
      </c>
      <c r="F514" s="101" t="s">
        <v>733</v>
      </c>
      <c r="G514" s="101">
        <v>40</v>
      </c>
      <c r="H514" s="103">
        <v>90178.1</v>
      </c>
      <c r="I514" s="101" t="s">
        <v>193</v>
      </c>
      <c r="J514" s="101"/>
      <c r="K514" s="101"/>
      <c r="L514" s="101" t="s">
        <v>172</v>
      </c>
      <c r="M514" s="101"/>
      <c r="N514" s="101">
        <v>1021</v>
      </c>
      <c r="O514" s="101"/>
      <c r="P514" s="101" t="s">
        <v>608</v>
      </c>
      <c r="Q514" s="101" t="s">
        <v>1013</v>
      </c>
      <c r="R514" s="101"/>
      <c r="S514" s="101"/>
      <c r="T514" s="101"/>
      <c r="U514" s="101"/>
      <c r="V514" s="101" t="s">
        <v>40</v>
      </c>
      <c r="W514" s="101">
        <v>4701508</v>
      </c>
      <c r="X514" t="str">
        <f t="shared" si="7"/>
        <v>LC Sales</v>
      </c>
    </row>
    <row r="515" spans="1:24" hidden="1">
      <c r="A515" s="101"/>
      <c r="B515" s="101">
        <v>20260424</v>
      </c>
      <c r="C515" s="101">
        <v>1900000280</v>
      </c>
      <c r="D515" s="101" t="s">
        <v>521</v>
      </c>
      <c r="E515" s="101" t="s">
        <v>535</v>
      </c>
      <c r="F515" s="101" t="s">
        <v>733</v>
      </c>
      <c r="G515" s="101">
        <v>40</v>
      </c>
      <c r="H515" s="103">
        <v>76278.83</v>
      </c>
      <c r="I515" s="101" t="s">
        <v>193</v>
      </c>
      <c r="J515" s="101"/>
      <c r="K515" s="101"/>
      <c r="L515" s="101" t="s">
        <v>156</v>
      </c>
      <c r="M515" s="101"/>
      <c r="N515" s="101">
        <v>1021</v>
      </c>
      <c r="O515" s="101"/>
      <c r="P515" s="101" t="s">
        <v>608</v>
      </c>
      <c r="Q515" s="101" t="s">
        <v>1014</v>
      </c>
      <c r="R515" s="101"/>
      <c r="S515" s="101"/>
      <c r="T515" s="101"/>
      <c r="U515" s="101"/>
      <c r="V515" s="101" t="s">
        <v>40</v>
      </c>
      <c r="W515" s="101">
        <v>4701508</v>
      </c>
      <c r="X515" t="str">
        <f t="shared" ref="X515:X521" si="8">VLOOKUP(L515,L:P,5,FALSE)</f>
        <v>LC Sales</v>
      </c>
    </row>
    <row r="516" spans="1:24" hidden="1">
      <c r="A516" s="101"/>
      <c r="B516" s="101">
        <v>20260428</v>
      </c>
      <c r="C516" s="101">
        <v>1900000292</v>
      </c>
      <c r="D516" s="101" t="s">
        <v>521</v>
      </c>
      <c r="E516" s="101" t="s">
        <v>535</v>
      </c>
      <c r="F516" s="101" t="s">
        <v>755</v>
      </c>
      <c r="G516" s="101">
        <v>40</v>
      </c>
      <c r="H516" s="103">
        <v>142708.01999999999</v>
      </c>
      <c r="I516" s="101" t="s">
        <v>193</v>
      </c>
      <c r="J516" s="101"/>
      <c r="K516" s="101"/>
      <c r="L516" s="101" t="s">
        <v>176</v>
      </c>
      <c r="M516" s="101"/>
      <c r="N516" s="101">
        <v>1021</v>
      </c>
      <c r="O516" s="101"/>
      <c r="P516" s="101" t="s">
        <v>608</v>
      </c>
      <c r="Q516" s="101" t="s">
        <v>1015</v>
      </c>
      <c r="R516" s="101"/>
      <c r="S516" s="101"/>
      <c r="T516" s="101"/>
      <c r="U516" s="101"/>
      <c r="V516" s="101" t="s">
        <v>40</v>
      </c>
      <c r="W516" s="101">
        <v>4701508</v>
      </c>
      <c r="X516" t="str">
        <f t="shared" si="8"/>
        <v>LC Sales</v>
      </c>
    </row>
    <row r="517" spans="1:24" hidden="1">
      <c r="A517" s="101"/>
      <c r="B517" s="101">
        <v>20260428</v>
      </c>
      <c r="C517" s="101">
        <v>1900000293</v>
      </c>
      <c r="D517" s="101" t="s">
        <v>521</v>
      </c>
      <c r="E517" s="101" t="s">
        <v>535</v>
      </c>
      <c r="F517" s="101" t="s">
        <v>755</v>
      </c>
      <c r="G517" s="101">
        <v>40</v>
      </c>
      <c r="H517" s="103">
        <v>39340.019999999997</v>
      </c>
      <c r="I517" s="101" t="s">
        <v>193</v>
      </c>
      <c r="J517" s="101"/>
      <c r="K517" s="101"/>
      <c r="L517" s="101" t="s">
        <v>178</v>
      </c>
      <c r="M517" s="101"/>
      <c r="N517" s="101">
        <v>1021</v>
      </c>
      <c r="O517" s="101"/>
      <c r="P517" s="101" t="s">
        <v>608</v>
      </c>
      <c r="Q517" s="101" t="s">
        <v>1016</v>
      </c>
      <c r="R517" s="101"/>
      <c r="S517" s="101"/>
      <c r="T517" s="101"/>
      <c r="U517" s="101"/>
      <c r="V517" s="101" t="s">
        <v>40</v>
      </c>
      <c r="W517" s="101">
        <v>4701508</v>
      </c>
      <c r="X517" t="str">
        <f t="shared" si="8"/>
        <v>LC Sales</v>
      </c>
    </row>
    <row r="518" spans="1:24" hidden="1">
      <c r="A518" s="101"/>
      <c r="B518" s="101">
        <v>20260428</v>
      </c>
      <c r="C518" s="101">
        <v>1900000294</v>
      </c>
      <c r="D518" s="101" t="s">
        <v>521</v>
      </c>
      <c r="E518" s="101" t="s">
        <v>535</v>
      </c>
      <c r="F518" s="101" t="s">
        <v>755</v>
      </c>
      <c r="G518" s="101">
        <v>40</v>
      </c>
      <c r="H518" s="103">
        <v>176672.59</v>
      </c>
      <c r="I518" s="101" t="s">
        <v>193</v>
      </c>
      <c r="J518" s="101"/>
      <c r="K518" s="101"/>
      <c r="L518" s="101" t="s">
        <v>160</v>
      </c>
      <c r="M518" s="101"/>
      <c r="N518" s="101">
        <v>1021</v>
      </c>
      <c r="O518" s="101"/>
      <c r="P518" s="101" t="s">
        <v>608</v>
      </c>
      <c r="Q518" s="101" t="s">
        <v>1017</v>
      </c>
      <c r="R518" s="101"/>
      <c r="S518" s="101"/>
      <c r="T518" s="101"/>
      <c r="U518" s="101"/>
      <c r="V518" s="101" t="s">
        <v>40</v>
      </c>
      <c r="W518" s="101">
        <v>4701508</v>
      </c>
      <c r="X518" t="str">
        <f t="shared" si="8"/>
        <v>LC Sales</v>
      </c>
    </row>
    <row r="519" spans="1:24" hidden="1">
      <c r="A519" s="101"/>
      <c r="B519" s="101">
        <v>20260428</v>
      </c>
      <c r="C519" s="101">
        <v>1900000295</v>
      </c>
      <c r="D519" s="101" t="s">
        <v>521</v>
      </c>
      <c r="E519" s="101" t="s">
        <v>535</v>
      </c>
      <c r="F519" s="101" t="s">
        <v>755</v>
      </c>
      <c r="G519" s="101">
        <v>40</v>
      </c>
      <c r="H519" s="103">
        <v>239595.41</v>
      </c>
      <c r="I519" s="101" t="s">
        <v>193</v>
      </c>
      <c r="J519" s="101"/>
      <c r="K519" s="101"/>
      <c r="L519" s="101" t="s">
        <v>180</v>
      </c>
      <c r="M519" s="101"/>
      <c r="N519" s="101">
        <v>1021</v>
      </c>
      <c r="O519" s="101"/>
      <c r="P519" s="101" t="s">
        <v>608</v>
      </c>
      <c r="Q519" s="101" t="s">
        <v>1018</v>
      </c>
      <c r="R519" s="101"/>
      <c r="S519" s="101"/>
      <c r="T519" s="101"/>
      <c r="U519" s="101"/>
      <c r="V519" s="101" t="s">
        <v>40</v>
      </c>
      <c r="W519" s="101">
        <v>4701508</v>
      </c>
      <c r="X519" t="str">
        <f t="shared" si="8"/>
        <v>LC Sales</v>
      </c>
    </row>
    <row r="520" spans="1:24" hidden="1">
      <c r="A520" s="101"/>
      <c r="B520" s="101">
        <v>20260430</v>
      </c>
      <c r="C520" s="101">
        <v>100000311</v>
      </c>
      <c r="D520" s="101" t="s">
        <v>521</v>
      </c>
      <c r="E520" s="101" t="s">
        <v>522</v>
      </c>
      <c r="F520" s="101" t="s">
        <v>764</v>
      </c>
      <c r="G520" s="101">
        <v>40</v>
      </c>
      <c r="H520" s="103">
        <v>4267.0200000000004</v>
      </c>
      <c r="I520" s="101" t="s">
        <v>193</v>
      </c>
      <c r="J520" s="101"/>
      <c r="K520" s="101"/>
      <c r="L520" s="101" t="s">
        <v>185</v>
      </c>
      <c r="M520" s="101"/>
      <c r="N520" s="101">
        <v>1021</v>
      </c>
      <c r="O520" s="101"/>
      <c r="P520" s="101" t="s">
        <v>597</v>
      </c>
      <c r="Q520" s="101" t="s">
        <v>981</v>
      </c>
      <c r="R520" s="101"/>
      <c r="S520" s="101"/>
      <c r="T520" s="101"/>
      <c r="U520" s="101"/>
      <c r="V520" s="101" t="s">
        <v>40</v>
      </c>
      <c r="W520" s="101">
        <v>4701508</v>
      </c>
      <c r="X520" t="str">
        <f t="shared" si="8"/>
        <v>sales</v>
      </c>
    </row>
    <row r="521" spans="1:24" hidden="1">
      <c r="A521" s="101"/>
      <c r="B521" s="101">
        <v>20260430</v>
      </c>
      <c r="C521" s="101">
        <v>1900000402</v>
      </c>
      <c r="D521" s="101" t="s">
        <v>521</v>
      </c>
      <c r="E521" s="101" t="s">
        <v>535</v>
      </c>
      <c r="F521" s="101" t="s">
        <v>764</v>
      </c>
      <c r="G521" s="101">
        <v>40</v>
      </c>
      <c r="H521" s="103">
        <v>223511.38</v>
      </c>
      <c r="I521" s="101" t="s">
        <v>193</v>
      </c>
      <c r="J521" s="101"/>
      <c r="K521" s="101"/>
      <c r="L521" s="101" t="s">
        <v>183</v>
      </c>
      <c r="M521" s="101"/>
      <c r="N521" s="101">
        <v>1021</v>
      </c>
      <c r="O521" s="101"/>
      <c r="P521" s="101" t="s">
        <v>608</v>
      </c>
      <c r="Q521" s="101" t="s">
        <v>1019</v>
      </c>
      <c r="R521" s="101"/>
      <c r="S521" s="101"/>
      <c r="T521" s="101"/>
      <c r="U521" s="101"/>
      <c r="V521" s="101" t="s">
        <v>40</v>
      </c>
      <c r="W521" s="101">
        <v>4701508</v>
      </c>
      <c r="X521" t="str">
        <f t="shared" si="8"/>
        <v>LC Sales</v>
      </c>
    </row>
  </sheetData>
  <autoFilter ref="A1:W521">
    <filterColumn colId="11">
      <filters>
        <filter val="469BC89253540002"/>
      </filters>
    </filterColumn>
  </autoFilter>
  <conditionalFormatting sqref="M76">
    <cfRule type="duplicateValues" dxfId="1" priority="2"/>
  </conditionalFormatting>
  <conditionalFormatting sqref="M186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D67"/>
  <sheetViews>
    <sheetView workbookViewId="0">
      <selection activeCell="C2" sqref="C2"/>
    </sheetView>
  </sheetViews>
  <sheetFormatPr defaultRowHeight="15"/>
  <cols>
    <col min="2" max="2" width="19.42578125" bestFit="1" customWidth="1"/>
    <col min="3" max="3" width="22.140625" customWidth="1"/>
    <col min="4" max="4" width="19" bestFit="1" customWidth="1"/>
  </cols>
  <sheetData>
    <row r="1" spans="2:4">
      <c r="C1" t="s">
        <v>666</v>
      </c>
    </row>
    <row r="2" spans="2:4">
      <c r="B2" t="s">
        <v>20</v>
      </c>
      <c r="C2" t="s">
        <v>1020</v>
      </c>
      <c r="D2" t="s">
        <v>1021</v>
      </c>
    </row>
    <row r="3" spans="2:4">
      <c r="B3" t="s">
        <v>115</v>
      </c>
      <c r="C3" t="str">
        <f t="shared" ref="C3:C34" si="0">VLOOKUP(B3,D:D,1,FALSE)</f>
        <v>469BC89261030007</v>
      </c>
      <c r="D3" t="s">
        <v>93</v>
      </c>
    </row>
    <row r="4" spans="2:4">
      <c r="B4" t="s">
        <v>112</v>
      </c>
      <c r="C4" t="str">
        <f t="shared" si="0"/>
        <v>469BC89261030011</v>
      </c>
      <c r="D4" t="s">
        <v>99</v>
      </c>
    </row>
    <row r="5" spans="2:4">
      <c r="B5" t="s">
        <v>118</v>
      </c>
      <c r="C5" t="str">
        <f t="shared" si="0"/>
        <v>469BC89261030010</v>
      </c>
      <c r="D5" t="s">
        <v>104</v>
      </c>
    </row>
    <row r="6" spans="2:4">
      <c r="B6" t="s">
        <v>104</v>
      </c>
      <c r="C6" t="str">
        <f t="shared" si="0"/>
        <v>469BC89261030001</v>
      </c>
      <c r="D6" t="s">
        <v>107</v>
      </c>
    </row>
    <row r="7" spans="2:4">
      <c r="B7" t="s">
        <v>107</v>
      </c>
      <c r="C7" t="str">
        <f t="shared" si="0"/>
        <v>469BC89261030003</v>
      </c>
      <c r="D7" t="s">
        <v>112</v>
      </c>
    </row>
    <row r="8" spans="2:4">
      <c r="B8" t="s">
        <v>130</v>
      </c>
      <c r="C8" t="str">
        <f t="shared" si="0"/>
        <v>469BC89261060003</v>
      </c>
      <c r="D8" t="s">
        <v>115</v>
      </c>
    </row>
    <row r="9" spans="2:4">
      <c r="B9" t="s">
        <v>126</v>
      </c>
      <c r="C9" t="str">
        <f t="shared" si="0"/>
        <v>469BC89261060002</v>
      </c>
      <c r="D9" t="s">
        <v>118</v>
      </c>
    </row>
    <row r="10" spans="2:4">
      <c r="B10" t="s">
        <v>122</v>
      </c>
      <c r="C10" t="str">
        <f t="shared" si="0"/>
        <v>469BC89261060001</v>
      </c>
      <c r="D10" t="s">
        <v>122</v>
      </c>
    </row>
    <row r="11" spans="2:4">
      <c r="B11" t="s">
        <v>143</v>
      </c>
      <c r="C11" t="str">
        <f t="shared" si="0"/>
        <v>469BC89261100002</v>
      </c>
      <c r="D11" t="s">
        <v>126</v>
      </c>
    </row>
    <row r="12" spans="2:4">
      <c r="B12" t="s">
        <v>187</v>
      </c>
      <c r="C12" t="e">
        <f t="shared" si="0"/>
        <v>#N/A</v>
      </c>
      <c r="D12" t="s">
        <v>130</v>
      </c>
    </row>
    <row r="13" spans="2:4">
      <c r="B13" t="s">
        <v>141</v>
      </c>
      <c r="C13" t="str">
        <f t="shared" si="0"/>
        <v>469BC89261100004</v>
      </c>
      <c r="D13" t="s">
        <v>134</v>
      </c>
    </row>
    <row r="14" spans="2:4">
      <c r="B14" t="s">
        <v>138</v>
      </c>
      <c r="C14" t="str">
        <f t="shared" si="0"/>
        <v>469BC89261100005</v>
      </c>
      <c r="D14" t="s">
        <v>138</v>
      </c>
    </row>
    <row r="15" spans="2:4">
      <c r="B15" t="s">
        <v>188</v>
      </c>
      <c r="C15" t="e">
        <f t="shared" si="0"/>
        <v>#N/A</v>
      </c>
      <c r="D15" t="s">
        <v>141</v>
      </c>
    </row>
    <row r="16" spans="2:4">
      <c r="B16" t="s">
        <v>134</v>
      </c>
      <c r="C16" t="str">
        <f t="shared" si="0"/>
        <v>469BC89261100007</v>
      </c>
      <c r="D16" t="s">
        <v>143</v>
      </c>
    </row>
    <row r="17" spans="2:4">
      <c r="B17" t="s">
        <v>152</v>
      </c>
      <c r="C17" t="str">
        <f t="shared" si="0"/>
        <v>469BC89261110009</v>
      </c>
      <c r="D17" t="s">
        <v>146</v>
      </c>
    </row>
    <row r="18" spans="2:4">
      <c r="B18" t="s">
        <v>146</v>
      </c>
      <c r="C18" t="str">
        <f t="shared" si="0"/>
        <v>469BC89261110006</v>
      </c>
      <c r="D18" t="s">
        <v>148</v>
      </c>
    </row>
    <row r="19" spans="2:4">
      <c r="B19" t="s">
        <v>148</v>
      </c>
      <c r="C19" t="str">
        <f t="shared" si="0"/>
        <v>469BC89261110008</v>
      </c>
      <c r="D19" t="s">
        <v>152</v>
      </c>
    </row>
    <row r="20" spans="2:4">
      <c r="B20" t="s">
        <v>160</v>
      </c>
      <c r="C20" t="str">
        <f t="shared" si="0"/>
        <v>469BC89261130003</v>
      </c>
      <c r="D20" t="s">
        <v>156</v>
      </c>
    </row>
    <row r="21" spans="2:4">
      <c r="B21" t="s">
        <v>156</v>
      </c>
      <c r="C21" t="str">
        <f t="shared" si="0"/>
        <v>469BC89261130001</v>
      </c>
      <c r="D21" t="s">
        <v>160</v>
      </c>
    </row>
    <row r="22" spans="2:4">
      <c r="B22" t="s">
        <v>164</v>
      </c>
      <c r="C22" t="str">
        <f t="shared" si="0"/>
        <v>469BC89261140003</v>
      </c>
      <c r="D22" t="s">
        <v>164</v>
      </c>
    </row>
    <row r="23" spans="2:4">
      <c r="B23" t="s">
        <v>167</v>
      </c>
      <c r="C23" t="str">
        <f t="shared" si="0"/>
        <v>469BC89261140007</v>
      </c>
      <c r="D23" t="s">
        <v>167</v>
      </c>
    </row>
    <row r="24" spans="2:4">
      <c r="B24" t="s">
        <v>170</v>
      </c>
      <c r="C24" t="str">
        <f t="shared" si="0"/>
        <v>469BC89261140008</v>
      </c>
      <c r="D24" t="s">
        <v>170</v>
      </c>
    </row>
    <row r="25" spans="2:4">
      <c r="B25" t="s">
        <v>172</v>
      </c>
      <c r="C25" t="str">
        <f t="shared" si="0"/>
        <v>469BC89261140009</v>
      </c>
      <c r="D25" t="s">
        <v>172</v>
      </c>
    </row>
    <row r="26" spans="2:4">
      <c r="B26" t="s">
        <v>178</v>
      </c>
      <c r="C26" t="str">
        <f t="shared" si="0"/>
        <v>469BC89261140010</v>
      </c>
      <c r="D26" t="s">
        <v>176</v>
      </c>
    </row>
    <row r="27" spans="2:4">
      <c r="B27" t="s">
        <v>176</v>
      </c>
      <c r="C27" t="str">
        <f t="shared" si="0"/>
        <v>469BC89261170007</v>
      </c>
      <c r="D27" t="s">
        <v>178</v>
      </c>
    </row>
    <row r="28" spans="2:4">
      <c r="B28" t="s">
        <v>180</v>
      </c>
      <c r="C28" t="str">
        <f t="shared" si="0"/>
        <v>469BC89261180001</v>
      </c>
      <c r="D28" t="s">
        <v>180</v>
      </c>
    </row>
    <row r="29" spans="2:4">
      <c r="B29" t="s">
        <v>183</v>
      </c>
      <c r="C29" t="str">
        <f t="shared" si="0"/>
        <v>469BC89261200004</v>
      </c>
      <c r="D29" t="s">
        <v>183</v>
      </c>
    </row>
    <row r="30" spans="2:4">
      <c r="B30" t="s">
        <v>99</v>
      </c>
      <c r="C30" t="str">
        <f t="shared" si="0"/>
        <v>469BC89260890006</v>
      </c>
    </row>
    <row r="31" spans="2:4">
      <c r="B31" t="s">
        <v>93</v>
      </c>
      <c r="C31" t="str">
        <f t="shared" si="0"/>
        <v>469BC89260860007</v>
      </c>
    </row>
    <row r="32" spans="2:4">
      <c r="B32" t="s">
        <v>107</v>
      </c>
      <c r="C32" t="str">
        <f t="shared" si="0"/>
        <v>469BC89261030003</v>
      </c>
    </row>
    <row r="33" spans="2:3">
      <c r="B33" t="s">
        <v>104</v>
      </c>
      <c r="C33" t="str">
        <f t="shared" si="0"/>
        <v>469BC89261030001</v>
      </c>
    </row>
    <row r="34" spans="2:3">
      <c r="B34" t="s">
        <v>194</v>
      </c>
      <c r="C34" t="e">
        <f t="shared" si="0"/>
        <v>#N/A</v>
      </c>
    </row>
    <row r="35" spans="2:3">
      <c r="B35" t="s">
        <v>192</v>
      </c>
      <c r="C35" t="e">
        <f t="shared" ref="C35:C66" si="1">VLOOKUP(B35,D:D,1,FALSE)</f>
        <v>#N/A</v>
      </c>
    </row>
    <row r="36" spans="2:3">
      <c r="B36" t="s">
        <v>194</v>
      </c>
      <c r="C36" t="e">
        <f t="shared" si="1"/>
        <v>#N/A</v>
      </c>
    </row>
    <row r="37" spans="2:3">
      <c r="B37" t="s">
        <v>192</v>
      </c>
      <c r="C37" t="e">
        <f t="shared" si="1"/>
        <v>#N/A</v>
      </c>
    </row>
    <row r="38" spans="2:3">
      <c r="B38" t="s">
        <v>118</v>
      </c>
      <c r="C38" t="str">
        <f t="shared" si="1"/>
        <v>469BC89261030010</v>
      </c>
    </row>
    <row r="39" spans="2:3">
      <c r="B39" t="s">
        <v>115</v>
      </c>
      <c r="C39" t="str">
        <f t="shared" si="1"/>
        <v>469BC89261030007</v>
      </c>
    </row>
    <row r="40" spans="2:3">
      <c r="B40" t="s">
        <v>112</v>
      </c>
      <c r="C40" t="str">
        <f t="shared" si="1"/>
        <v>469BC89261030011</v>
      </c>
    </row>
    <row r="41" spans="2:3">
      <c r="B41" t="s">
        <v>194</v>
      </c>
      <c r="C41" t="e">
        <f t="shared" si="1"/>
        <v>#N/A</v>
      </c>
    </row>
    <row r="42" spans="2:3">
      <c r="B42" t="s">
        <v>192</v>
      </c>
      <c r="C42" t="e">
        <f t="shared" si="1"/>
        <v>#N/A</v>
      </c>
    </row>
    <row r="43" spans="2:3">
      <c r="B43" t="s">
        <v>130</v>
      </c>
      <c r="C43" t="str">
        <f t="shared" si="1"/>
        <v>469BC89261060003</v>
      </c>
    </row>
    <row r="44" spans="2:3">
      <c r="B44" t="s">
        <v>122</v>
      </c>
      <c r="C44" t="str">
        <f t="shared" si="1"/>
        <v>469BC89261060001</v>
      </c>
    </row>
    <row r="45" spans="2:3">
      <c r="B45" t="s">
        <v>126</v>
      </c>
      <c r="C45" t="str">
        <f t="shared" si="1"/>
        <v>469BC89261060002</v>
      </c>
    </row>
    <row r="46" spans="2:3">
      <c r="B46" t="s">
        <v>258</v>
      </c>
      <c r="C46" t="e">
        <f t="shared" si="1"/>
        <v>#N/A</v>
      </c>
    </row>
    <row r="47" spans="2:3">
      <c r="B47" t="s">
        <v>258</v>
      </c>
      <c r="C47" t="e">
        <f t="shared" si="1"/>
        <v>#N/A</v>
      </c>
    </row>
    <row r="48" spans="2:3">
      <c r="B48" t="s">
        <v>134</v>
      </c>
      <c r="C48" t="str">
        <f t="shared" si="1"/>
        <v>469BC89261100007</v>
      </c>
    </row>
    <row r="49" spans="2:3">
      <c r="B49" t="s">
        <v>138</v>
      </c>
      <c r="C49" t="str">
        <f t="shared" si="1"/>
        <v>469BC89261100005</v>
      </c>
    </row>
    <row r="50" spans="2:3">
      <c r="B50" t="s">
        <v>141</v>
      </c>
      <c r="C50" t="str">
        <f t="shared" si="1"/>
        <v>469BC89261100004</v>
      </c>
    </row>
    <row r="51" spans="2:3">
      <c r="B51" t="s">
        <v>143</v>
      </c>
      <c r="C51" t="str">
        <f t="shared" si="1"/>
        <v>469BC89261100002</v>
      </c>
    </row>
    <row r="52" spans="2:3">
      <c r="B52" t="s">
        <v>188</v>
      </c>
      <c r="C52" t="e">
        <f t="shared" si="1"/>
        <v>#N/A</v>
      </c>
    </row>
    <row r="53" spans="2:3">
      <c r="B53" t="s">
        <v>187</v>
      </c>
      <c r="C53" t="e">
        <f t="shared" si="1"/>
        <v>#N/A</v>
      </c>
    </row>
    <row r="54" spans="2:3">
      <c r="B54" t="s">
        <v>152</v>
      </c>
      <c r="C54" t="str">
        <f t="shared" si="1"/>
        <v>469BC89261110009</v>
      </c>
    </row>
    <row r="55" spans="2:3">
      <c r="B55" t="s">
        <v>146</v>
      </c>
      <c r="C55" t="str">
        <f t="shared" si="1"/>
        <v>469BC89261110006</v>
      </c>
    </row>
    <row r="56" spans="2:3">
      <c r="B56" t="s">
        <v>148</v>
      </c>
      <c r="C56" t="str">
        <f t="shared" si="1"/>
        <v>469BC89261110008</v>
      </c>
    </row>
    <row r="57" spans="2:3">
      <c r="B57" t="s">
        <v>164</v>
      </c>
      <c r="C57" t="str">
        <f t="shared" si="1"/>
        <v>469BC89261140003</v>
      </c>
    </row>
    <row r="58" spans="2:3">
      <c r="B58" t="s">
        <v>164</v>
      </c>
      <c r="C58" t="str">
        <f t="shared" si="1"/>
        <v>469BC89261140003</v>
      </c>
    </row>
    <row r="59" spans="2:3">
      <c r="B59" t="s">
        <v>167</v>
      </c>
      <c r="C59" t="str">
        <f t="shared" si="1"/>
        <v>469BC89261140007</v>
      </c>
    </row>
    <row r="60" spans="2:3">
      <c r="B60" t="s">
        <v>170</v>
      </c>
      <c r="C60" t="str">
        <f t="shared" si="1"/>
        <v>469BC89261140008</v>
      </c>
    </row>
    <row r="61" spans="2:3">
      <c r="B61" t="s">
        <v>172</v>
      </c>
      <c r="C61" t="str">
        <f t="shared" si="1"/>
        <v>469BC89261140009</v>
      </c>
    </row>
    <row r="62" spans="2:3">
      <c r="B62" t="s">
        <v>156</v>
      </c>
      <c r="C62" t="str">
        <f t="shared" si="1"/>
        <v>469BC89261130001</v>
      </c>
    </row>
    <row r="63" spans="2:3">
      <c r="B63" t="s">
        <v>176</v>
      </c>
      <c r="C63" t="str">
        <f t="shared" si="1"/>
        <v>469BC89261170007</v>
      </c>
    </row>
    <row r="64" spans="2:3">
      <c r="B64" t="s">
        <v>178</v>
      </c>
      <c r="C64" t="str">
        <f t="shared" si="1"/>
        <v>469BC89261140010</v>
      </c>
    </row>
    <row r="65" spans="2:3">
      <c r="B65" t="s">
        <v>160</v>
      </c>
      <c r="C65" t="str">
        <f t="shared" si="1"/>
        <v>469BC89261130003</v>
      </c>
    </row>
    <row r="66" spans="2:3">
      <c r="B66" t="s">
        <v>180</v>
      </c>
      <c r="C66" t="str">
        <f t="shared" si="1"/>
        <v>469BC89261180001</v>
      </c>
    </row>
    <row r="67" spans="2:3">
      <c r="B67" t="s">
        <v>183</v>
      </c>
      <c r="C67" t="str">
        <f t="shared" ref="C67:C98" si="2">VLOOKUP(B67,D:D,1,FALSE)</f>
        <v>469BC89261200004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Purchases</vt:lpstr>
      <vt:lpstr>Sales</vt:lpstr>
      <vt:lpstr>Sheet4</vt:lpstr>
      <vt:lpstr>Sheet3</vt:lpstr>
      <vt:lpstr>Charges</vt:lpstr>
      <vt:lpstr>Retirement</vt:lpstr>
      <vt:lpstr>Sheet2</vt:lpstr>
      <vt:lpstr>SAP</vt:lpstr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DEBARSHI CHAKRABORTY</cp:lastModifiedBy>
  <cp:revision/>
  <dcterms:created xsi:type="dcterms:W3CDTF">2026-05-08T06:26:43Z</dcterms:created>
  <dcterms:modified xsi:type="dcterms:W3CDTF">2026-05-26T07:37:48Z</dcterms:modified>
  <cp:category/>
  <cp:contentStatus/>
</cp:coreProperties>
</file>